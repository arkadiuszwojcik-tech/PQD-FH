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18/calcfeatures" xmlns:r="http://schemas.openxmlformats.org/officeDocument/2006/relationships" ns1:Ignorable="x15 xr xr6 xr10 xr2">
  <fileVersion appName="xl" lastEdited="7" lowestEdited="7" rupBuild="30430"/>
  <workbookPr/>
  <ns1:AlternateContent>
    <ns1:Choice Requires="x15">
      <ns2:absPath url="D:\CCGT\CCGT3_QAQS\FQD_PQD\ForReview\"/>
    </ns1:Choice>
  </ns1:AlternateContent>
  <ns3:revisionPtr revIDLastSave="0" documentId="13_ncr:1_{A5D8A067-2208-452E-A79E-BB097BEFED3F}" ns4:coauthVersionLast="47" ns4:coauthVersionMax="47" ns5:uidLastSave="{00000000-0000-0000-0000-000000000000}"/>
  <bookViews>
    <workbookView xWindow="-120" yWindow="-120" windowWidth="24240" windowHeight="13140" activeTab="2" ns6:uid="{00000000-000D-0000-FFFF-FFFF00000000}"/>
  </bookViews>
  <sheets>
    <sheet name="00_Project" sheetId="1" r:id="rId1"/>
    <sheet name="A_Requirements" sheetId="2" r:id="rId2"/>
    <sheet name="B_Packages" sheetId="3" r:id="rId3"/>
    <sheet name="C_Deliverables" sheetId="4" r:id="rId4"/>
    <sheet name="D1_Package_Index" sheetId="5" r:id="rId5"/>
    <sheet name="D2_Documents" sheetId="6" r:id="rId6"/>
    <sheet name="D3_Metadata" sheetId="7" r:id="rId7"/>
    <sheet name="D4_Classification" sheetId="8" r:id="rId8"/>
    <sheet name="E_Traceability" sheetId="9" r:id="rId9"/>
    <sheet name="F_Completion" sheetId="10" r:id="rId10"/>
    <sheet name="G_Readiness" sheetId="11" r:id="rId11"/>
    <sheet name="H_Status_Codes" sheetId="12" r:id="rId12"/>
    <sheet name="I_Responsibilities" sheetId="13" r:id="rId13"/>
    <sheet name="Lists" sheetId="14" r:id="rId14"/>
  </sheets>
  <definedNames>
    <definedName name="ApplicabilityChoices">Lists!$F$13:$F$52</definedName>
    <definedName name="Disciplines">Lists!$A$13:$A$52</definedName>
    <definedName name="DocumentIDs">DocumentRegister[Document / Record ID]</definedName>
    <definedName name="DocumentStatuses">Lists!$J$13:$J$52</definedName>
    <definedName name="FQDSections">D1_Package_Index!$A$13:$A$34</definedName>
    <definedName name="InclusionTypes">Lists!$E$13:$E$52</definedName>
    <definedName name="LifecycleStages">Lists!$C$13:$C$52</definedName>
    <definedName name="PackageIDs">PackageRegister[Package ID]</definedName>
    <definedName name="PackageStatuses">PackageStatusCodes[Project status]</definedName>
    <definedName name="RACICodes">Lists!$I$13:$I$52</definedName>
    <definedName name="ReadinessDecisions">Lists!$K$13:$K$52</definedName>
    <definedName name="ReadinessResponses">Lists!$H$13:$H$52</definedName>
    <definedName name="RecordStatuses">Lists!$B$13:$B$52</definedName>
    <definedName name="RequiredChoices">Lists!$G$13:$G$52</definedName>
    <definedName name="TraceabilityStatuses">Lists!$D$13:$D$52</definedName>
    <definedName name="_xlnm.Print_Area" localSheetId="0">'00_Project'!$A$1:$F$45</definedName>
    <definedName name="_xlnm.Print_Area" localSheetId="1">'A_Requirements'!$A$1:$C$43</definedName>
    <definedName name="_xlnm.Print_Titles" localSheetId="1">'A_Requirements'!$1:$12</definedName>
    <definedName name="_xlnm.Print_Area" localSheetId="2">'B_Packages'!$A$1:$I$212</definedName>
    <definedName name="_xlnm.Print_Titles" localSheetId="2">'B_Packages'!$1:$12</definedName>
    <definedName name="_xlnm.Print_Area" localSheetId="3">'C_Deliverables'!$A$1:$K$312</definedName>
    <definedName name="_xlnm.Print_Titles" localSheetId="3">'C_Deliverables'!$1:$12</definedName>
    <definedName name="_xlnm.Print_Area" localSheetId="4">'D1_Package_Index'!$A$1:$E$34</definedName>
    <definedName name="_xlnm.Print_Titles" localSheetId="4">'D1_Package_Index'!$1:$12</definedName>
    <definedName name="_xlnm.Print_Area" localSheetId="5">'D2_Documents'!$A$1:$H$312</definedName>
    <definedName name="_xlnm.Print_Titles" localSheetId="5">'D2_Documents'!$1:$12</definedName>
    <definedName name="_xlnm.Print_Area" localSheetId="6">'D3_Metadata'!$A$1:$G$312</definedName>
    <definedName name="_xlnm.Print_Titles" localSheetId="6">'D3_Metadata'!$1:$12</definedName>
    <definedName name="_xlnm.Print_Area" localSheetId="7">'D4_Classification'!$A$1:$D$24</definedName>
    <definedName name="_xlnm.Print_Titles" localSheetId="7">'D4_Classification'!$1:$12</definedName>
    <definedName name="_xlnm.Print_Area" localSheetId="8">'E_Traceability'!$A$1:$I$312</definedName>
    <definedName name="_xlnm.Print_Titles" localSheetId="8">'E_Traceability'!$1:$12</definedName>
    <definedName name="_xlnm.Print_Area" localSheetId="9">'F_Completion'!$A$1:$L$212</definedName>
    <definedName name="_xlnm.Print_Titles" localSheetId="9">'F_Completion'!$1:$12</definedName>
    <definedName name="_xlnm.Print_Area" localSheetId="10">'G_Readiness'!$A$1:$G$44</definedName>
    <definedName name="_xlnm.Print_Titles" localSheetId="10">'G_Readiness'!$1:$12</definedName>
    <definedName name="_xlnm.Print_Area" localSheetId="11">'H_Status_Codes'!$A$1:$E$26</definedName>
    <definedName name="_xlnm.Print_Titles" localSheetId="11">'H_Status_Codes'!$1:$12</definedName>
    <definedName name="_xlnm.Print_Area" localSheetId="12">'I_Responsibilities'!$A$1:$L$22</definedName>
    <definedName name="_xlnm.Print_Titles" localSheetId="12">'I_Responsibilities'!$1:$12</definedName>
    <definedName name="_xlnm.Print_Area" localSheetId="13">'Lists'!$A$1:$K$52</definedName>
    <definedName name="_xlnm.Print_Titles" localSheetId="13">'Lists'!$1:$12</definedName>
  </definedNames>
  <calcPr calcId="191029"/>
  <extLst>
    <ext uri="{B58B0392-4F1F-4190-BB64-5DF3571DCE5F}">
      <ns8:calcFeatures>
        <ns8:feature name="microsoft.com:RD"/>
        <ns8:feature name="microsoft.com:Single"/>
        <ns8:feature name="microsoft.com:FV"/>
        <ns8:feature name="microsoft.com:CNMTM"/>
        <ns8:feature name="microsoft.com:LET_WF"/>
        <ns8:feature name="microsoft.com:LAMBDA_WF"/>
        <ns8:feature name="microsoft.com:ARRAYTEXT_WF"/>
      </ns8:calcFeatures>
    </ext>
  </extLst>
</workbook>
</file>

<file path=xl/calcChain.xml><?xml version="1.0" encoding="utf-8"?>
<calcChain xmlns="http://schemas.openxmlformats.org/spreadsheetml/2006/main">
  <c r="F9" i="14" l="1"/>
  <c r="A9" i="14"/>
  <c r="F7" i="14"/>
  <c r="A7" i="14"/>
  <c r="F6" i="14"/>
  <c r="A6" i="14"/>
  <c r="F5" i="14"/>
  <c r="A5" i="14"/>
  <c r="F4" i="14"/>
  <c r="A4" i="14"/>
  <c r="K22" i="13"/>
  <c r="J22" i="13"/>
  <c r="L22" i="13" s="1"/>
  <c r="K21" i="13"/>
  <c r="J21" i="13"/>
  <c r="L21" i="13" s="1"/>
  <c r="K20" i="13"/>
  <c r="J20" i="13"/>
  <c r="L20" i="13" s="1"/>
  <c r="L19" i="13"/>
  <c r="K19" i="13"/>
  <c r="J19" i="13"/>
  <c r="L18" i="13"/>
  <c r="K18" i="13"/>
  <c r="J18" i="13"/>
  <c r="K17" i="13"/>
  <c r="J17" i="13"/>
  <c r="L17" i="13" s="1"/>
  <c r="K16" i="13"/>
  <c r="J16" i="13"/>
  <c r="L16" i="13" s="1"/>
  <c r="K15" i="13"/>
  <c r="J15" i="13"/>
  <c r="L15" i="13" s="1"/>
  <c r="K14" i="13"/>
  <c r="L14" i="13" s="1"/>
  <c r="J14" i="13"/>
  <c r="K13" i="13"/>
  <c r="L13" i="13" s="1"/>
  <c r="J13" i="13"/>
  <c r="G9" i="13"/>
  <c r="A9" i="13"/>
  <c r="G7" i="13"/>
  <c r="A7" i="13"/>
  <c r="G6" i="13"/>
  <c r="A6" i="13"/>
  <c r="G5" i="13"/>
  <c r="A5" i="13"/>
  <c r="G4" i="13"/>
  <c r="A4" i="13"/>
  <c r="C9" i="12"/>
  <c r="A9" i="12"/>
  <c r="C7" i="12"/>
  <c r="A7" i="12"/>
  <c r="C6" i="12"/>
  <c r="A6" i="12"/>
  <c r="C5" i="12"/>
  <c r="A5" i="12"/>
  <c r="C4" i="12"/>
  <c r="A4" i="12"/>
  <c r="C38" i="11"/>
  <c r="B38" i="11"/>
  <c r="D9" i="11"/>
  <c r="A9" i="11"/>
  <c r="D7" i="11"/>
  <c r="A7" i="11"/>
  <c r="D6" i="11"/>
  <c r="A6" i="11"/>
  <c r="D5" i="11"/>
  <c r="A5" i="11"/>
  <c r="D4" i="11"/>
  <c r="A4" i="11"/>
  <c r="L212" i="10"/>
  <c r="K212" i="10"/>
  <c r="A212" i="10"/>
  <c r="L211" i="10"/>
  <c r="K211" i="10"/>
  <c r="A211" i="10"/>
  <c r="L210" i="10"/>
  <c r="K210" i="10"/>
  <c r="A210" i="10"/>
  <c r="L209" i="10"/>
  <c r="K209" i="10"/>
  <c r="A209" i="10"/>
  <c r="L208" i="10"/>
  <c r="K208" i="10"/>
  <c r="A208" i="10"/>
  <c r="L207" i="10"/>
  <c r="K207" i="10"/>
  <c r="A207" i="10"/>
  <c r="L206" i="10"/>
  <c r="K206" i="10"/>
  <c r="A206" i="10"/>
  <c r="L205" i="10"/>
  <c r="K205" i="10"/>
  <c r="A205" i="10"/>
  <c r="L204" i="10"/>
  <c r="K204" i="10"/>
  <c r="A204" i="10"/>
  <c r="L203" i="10"/>
  <c r="K203" i="10"/>
  <c r="A203" i="10"/>
  <c r="L202" i="10"/>
  <c r="K202" i="10"/>
  <c r="A202" i="10"/>
  <c r="L201" i="10"/>
  <c r="K201" i="10"/>
  <c r="A201" i="10"/>
  <c r="L200" i="10"/>
  <c r="K200" i="10"/>
  <c r="A200" i="10"/>
  <c r="L199" i="10"/>
  <c r="K199" i="10"/>
  <c r="A199" i="10"/>
  <c r="L198" i="10"/>
  <c r="K198" i="10"/>
  <c r="A198" i="10"/>
  <c r="L197" i="10"/>
  <c r="K197" i="10"/>
  <c r="A197" i="10"/>
  <c r="L196" i="10"/>
  <c r="K196" i="10"/>
  <c r="A196" i="10"/>
  <c r="L195" i="10"/>
  <c r="K195" i="10"/>
  <c r="A195" i="10"/>
  <c r="L194" i="10"/>
  <c r="K194" i="10"/>
  <c r="A194" i="10"/>
  <c r="L193" i="10"/>
  <c r="K193" i="10"/>
  <c r="A193" i="10"/>
  <c r="L192" i="10"/>
  <c r="K192" i="10"/>
  <c r="A192" i="10"/>
  <c r="L191" i="10"/>
  <c r="K191" i="10"/>
  <c r="A191" i="10"/>
  <c r="L190" i="10"/>
  <c r="K190" i="10"/>
  <c r="A190" i="10"/>
  <c r="L189" i="10"/>
  <c r="K189" i="10"/>
  <c r="A189" i="10"/>
  <c r="L188" i="10"/>
  <c r="K188" i="10"/>
  <c r="A188" i="10"/>
  <c r="L187" i="10"/>
  <c r="K187" i="10"/>
  <c r="A187" i="10"/>
  <c r="L186" i="10"/>
  <c r="K186" i="10"/>
  <c r="A186" i="10"/>
  <c r="L185" i="10"/>
  <c r="K185" i="10"/>
  <c r="A185" i="10"/>
  <c r="L184" i="10"/>
  <c r="K184" i="10"/>
  <c r="A184" i="10"/>
  <c r="L183" i="10"/>
  <c r="K183" i="10"/>
  <c r="A183" i="10"/>
  <c r="L182" i="10"/>
  <c r="K182" i="10"/>
  <c r="A182" i="10"/>
  <c r="L181" i="10"/>
  <c r="K181" i="10"/>
  <c r="A181" i="10"/>
  <c r="L180" i="10"/>
  <c r="K180" i="10"/>
  <c r="A180" i="10"/>
  <c r="L179" i="10"/>
  <c r="K179" i="10"/>
  <c r="A179" i="10"/>
  <c r="L178" i="10"/>
  <c r="K178" i="10"/>
  <c r="A178" i="10"/>
  <c r="L177" i="10"/>
  <c r="K177" i="10"/>
  <c r="A177" i="10"/>
  <c r="L176" i="10"/>
  <c r="K176" i="10"/>
  <c r="A176" i="10"/>
  <c r="L175" i="10"/>
  <c r="K175" i="10"/>
  <c r="A175" i="10"/>
  <c r="L174" i="10"/>
  <c r="K174" i="10"/>
  <c r="A174" i="10"/>
  <c r="L173" i="10"/>
  <c r="K173" i="10"/>
  <c r="A173" i="10"/>
  <c r="L172" i="10"/>
  <c r="K172" i="10"/>
  <c r="A172" i="10"/>
  <c r="L171" i="10"/>
  <c r="K171" i="10"/>
  <c r="A171" i="10"/>
  <c r="L170" i="10"/>
  <c r="K170" i="10"/>
  <c r="A170" i="10"/>
  <c r="L169" i="10"/>
  <c r="K169" i="10"/>
  <c r="A169" i="10"/>
  <c r="L168" i="10"/>
  <c r="K168" i="10"/>
  <c r="A168" i="10"/>
  <c r="L167" i="10"/>
  <c r="K167" i="10"/>
  <c r="A167" i="10"/>
  <c r="L166" i="10"/>
  <c r="K166" i="10"/>
  <c r="A166" i="10"/>
  <c r="L165" i="10"/>
  <c r="K165" i="10"/>
  <c r="A165" i="10"/>
  <c r="L164" i="10"/>
  <c r="K164" i="10"/>
  <c r="A164" i="10"/>
  <c r="L163" i="10"/>
  <c r="K163" i="10"/>
  <c r="A163" i="10"/>
  <c r="L162" i="10"/>
  <c r="K162" i="10"/>
  <c r="A162" i="10"/>
  <c r="L161" i="10"/>
  <c r="K161" i="10"/>
  <c r="A161" i="10"/>
  <c r="L160" i="10"/>
  <c r="K160" i="10"/>
  <c r="A160" i="10"/>
  <c r="L159" i="10"/>
  <c r="K159" i="10"/>
  <c r="A159" i="10"/>
  <c r="L158" i="10"/>
  <c r="K158" i="10"/>
  <c r="A158" i="10"/>
  <c r="L157" i="10"/>
  <c r="K157" i="10"/>
  <c r="A157" i="10"/>
  <c r="L156" i="10"/>
  <c r="K156" i="10"/>
  <c r="A156" i="10"/>
  <c r="L155" i="10"/>
  <c r="K155" i="10"/>
  <c r="A155" i="10"/>
  <c r="L154" i="10"/>
  <c r="K154" i="10"/>
  <c r="A154" i="10"/>
  <c r="L153" i="10"/>
  <c r="K153" i="10"/>
  <c r="A153" i="10"/>
  <c r="L152" i="10"/>
  <c r="K152" i="10"/>
  <c r="A152" i="10"/>
  <c r="L151" i="10"/>
  <c r="K151" i="10"/>
  <c r="A151" i="10"/>
  <c r="L150" i="10"/>
  <c r="K150" i="10"/>
  <c r="A150" i="10"/>
  <c r="L149" i="10"/>
  <c r="K149" i="10"/>
  <c r="A149" i="10"/>
  <c r="L148" i="10"/>
  <c r="K148" i="10"/>
  <c r="A148" i="10"/>
  <c r="L147" i="10"/>
  <c r="K147" i="10"/>
  <c r="A147" i="10"/>
  <c r="L146" i="10"/>
  <c r="K146" i="10"/>
  <c r="A146" i="10"/>
  <c r="L145" i="10"/>
  <c r="K145" i="10"/>
  <c r="A145" i="10"/>
  <c r="L144" i="10"/>
  <c r="K144" i="10"/>
  <c r="A144" i="10"/>
  <c r="L143" i="10"/>
  <c r="K143" i="10"/>
  <c r="A143" i="10"/>
  <c r="L142" i="10"/>
  <c r="K142" i="10"/>
  <c r="A142" i="10"/>
  <c r="L141" i="10"/>
  <c r="K141" i="10"/>
  <c r="A141" i="10"/>
  <c r="L140" i="10"/>
  <c r="K140" i="10"/>
  <c r="A140" i="10"/>
  <c r="L139" i="10"/>
  <c r="K139" i="10"/>
  <c r="A139" i="10"/>
  <c r="L138" i="10"/>
  <c r="K138" i="10"/>
  <c r="A138" i="10"/>
  <c r="L137" i="10"/>
  <c r="K137" i="10"/>
  <c r="A137" i="10"/>
  <c r="L136" i="10"/>
  <c r="K136" i="10"/>
  <c r="A136" i="10"/>
  <c r="L135" i="10"/>
  <c r="K135" i="10"/>
  <c r="A135" i="10"/>
  <c r="L134" i="10"/>
  <c r="K134" i="10"/>
  <c r="A134" i="10"/>
  <c r="L133" i="10"/>
  <c r="K133" i="10"/>
  <c r="A133" i="10"/>
  <c r="L132" i="10"/>
  <c r="K132" i="10"/>
  <c r="A132" i="10"/>
  <c r="L131" i="10"/>
  <c r="K131" i="10"/>
  <c r="A131" i="10"/>
  <c r="L130" i="10"/>
  <c r="K130" i="10"/>
  <c r="A130" i="10"/>
  <c r="L129" i="10"/>
  <c r="K129" i="10"/>
  <c r="A129" i="10"/>
  <c r="L128" i="10"/>
  <c r="K128" i="10"/>
  <c r="A128" i="10"/>
  <c r="L127" i="10"/>
  <c r="K127" i="10"/>
  <c r="A127" i="10"/>
  <c r="L126" i="10"/>
  <c r="K126" i="10"/>
  <c r="A126" i="10"/>
  <c r="L125" i="10"/>
  <c r="K125" i="10"/>
  <c r="A125" i="10"/>
  <c r="L124" i="10"/>
  <c r="K124" i="10"/>
  <c r="A124" i="10"/>
  <c r="L123" i="10"/>
  <c r="K123" i="10"/>
  <c r="A123" i="10"/>
  <c r="L122" i="10"/>
  <c r="K122" i="10"/>
  <c r="A122" i="10"/>
  <c r="L121" i="10"/>
  <c r="K121" i="10"/>
  <c r="A121" i="10"/>
  <c r="L120" i="10"/>
  <c r="K120" i="10"/>
  <c r="A120" i="10"/>
  <c r="L119" i="10"/>
  <c r="K119" i="10"/>
  <c r="A119" i="10"/>
  <c r="L118" i="10"/>
  <c r="K118" i="10"/>
  <c r="A118" i="10"/>
  <c r="L117" i="10"/>
  <c r="K117" i="10"/>
  <c r="A117" i="10"/>
  <c r="L116" i="10"/>
  <c r="K116" i="10"/>
  <c r="A116" i="10"/>
  <c r="L115" i="10"/>
  <c r="K115" i="10"/>
  <c r="A115" i="10"/>
  <c r="L114" i="10"/>
  <c r="K114" i="10"/>
  <c r="A114" i="10"/>
  <c r="L113" i="10"/>
  <c r="K113" i="10"/>
  <c r="A113" i="10"/>
  <c r="L112" i="10"/>
  <c r="K112" i="10"/>
  <c r="A112" i="10"/>
  <c r="L111" i="10"/>
  <c r="K111" i="10"/>
  <c r="A111" i="10"/>
  <c r="L110" i="10"/>
  <c r="K110" i="10"/>
  <c r="A110" i="10"/>
  <c r="L109" i="10"/>
  <c r="K109" i="10"/>
  <c r="A109" i="10"/>
  <c r="L108" i="10"/>
  <c r="K108" i="10"/>
  <c r="A108" i="10"/>
  <c r="L107" i="10"/>
  <c r="K107" i="10"/>
  <c r="A107" i="10"/>
  <c r="L106" i="10"/>
  <c r="K106" i="10"/>
  <c r="A106" i="10"/>
  <c r="L105" i="10"/>
  <c r="K105" i="10"/>
  <c r="A105" i="10"/>
  <c r="L104" i="10"/>
  <c r="K104" i="10"/>
  <c r="A104" i="10"/>
  <c r="L103" i="10"/>
  <c r="K103" i="10"/>
  <c r="A103" i="10"/>
  <c r="L102" i="10"/>
  <c r="K102" i="10"/>
  <c r="A102" i="10"/>
  <c r="L101" i="10"/>
  <c r="K101" i="10"/>
  <c r="A101" i="10"/>
  <c r="L100" i="10"/>
  <c r="K100" i="10"/>
  <c r="A100" i="10"/>
  <c r="L99" i="10"/>
  <c r="K99" i="10"/>
  <c r="A99" i="10"/>
  <c r="L98" i="10"/>
  <c r="K98" i="10"/>
  <c r="A98" i="10"/>
  <c r="L97" i="10"/>
  <c r="K97" i="10"/>
  <c r="A97" i="10"/>
  <c r="L96" i="10"/>
  <c r="K96" i="10"/>
  <c r="A96" i="10"/>
  <c r="L95" i="10"/>
  <c r="K95" i="10"/>
  <c r="A95" i="10"/>
  <c r="L94" i="10"/>
  <c r="K94" i="10"/>
  <c r="A94" i="10"/>
  <c r="L93" i="10"/>
  <c r="K93" i="10"/>
  <c r="A93" i="10"/>
  <c r="L92" i="10"/>
  <c r="K92" i="10"/>
  <c r="A92" i="10"/>
  <c r="L91" i="10"/>
  <c r="K91" i="10"/>
  <c r="A91" i="10"/>
  <c r="L90" i="10"/>
  <c r="K90" i="10"/>
  <c r="A90" i="10"/>
  <c r="L89" i="10"/>
  <c r="K89" i="10"/>
  <c r="A89" i="10"/>
  <c r="L88" i="10"/>
  <c r="K88" i="10"/>
  <c r="A88" i="10"/>
  <c r="L87" i="10"/>
  <c r="K87" i="10"/>
  <c r="A87" i="10"/>
  <c r="L86" i="10"/>
  <c r="K86" i="10"/>
  <c r="A86" i="10"/>
  <c r="L85" i="10"/>
  <c r="K85" i="10"/>
  <c r="A85" i="10"/>
  <c r="L84" i="10"/>
  <c r="K84" i="10"/>
  <c r="A84" i="10"/>
  <c r="L83" i="10"/>
  <c r="K83" i="10"/>
  <c r="A83" i="10"/>
  <c r="L82" i="10"/>
  <c r="K82" i="10"/>
  <c r="A82" i="10"/>
  <c r="L81" i="10"/>
  <c r="K81" i="10"/>
  <c r="A81" i="10"/>
  <c r="L80" i="10"/>
  <c r="K80" i="10"/>
  <c r="A80" i="10"/>
  <c r="L79" i="10"/>
  <c r="K79" i="10"/>
  <c r="A79" i="10"/>
  <c r="L78" i="10"/>
  <c r="K78" i="10"/>
  <c r="A78" i="10"/>
  <c r="L77" i="10"/>
  <c r="K77" i="10"/>
  <c r="A77" i="10"/>
  <c r="L76" i="10"/>
  <c r="K76" i="10"/>
  <c r="A76" i="10"/>
  <c r="L75" i="10"/>
  <c r="K75" i="10"/>
  <c r="A75" i="10"/>
  <c r="L74" i="10"/>
  <c r="K74" i="10"/>
  <c r="A74" i="10"/>
  <c r="L73" i="10"/>
  <c r="K73" i="10"/>
  <c r="A73" i="10"/>
  <c r="L72" i="10"/>
  <c r="K72" i="10"/>
  <c r="A72" i="10"/>
  <c r="L71" i="10"/>
  <c r="K71" i="10"/>
  <c r="A71" i="10"/>
  <c r="L70" i="10"/>
  <c r="K70" i="10"/>
  <c r="A70" i="10"/>
  <c r="L69" i="10"/>
  <c r="K69" i="10"/>
  <c r="A69" i="10"/>
  <c r="L68" i="10"/>
  <c r="K68" i="10"/>
  <c r="A68" i="10"/>
  <c r="L67" i="10"/>
  <c r="K67" i="10"/>
  <c r="A67" i="10"/>
  <c r="L66" i="10"/>
  <c r="K66" i="10"/>
  <c r="A66" i="10"/>
  <c r="L65" i="10"/>
  <c r="K65" i="10"/>
  <c r="A65" i="10"/>
  <c r="L64" i="10"/>
  <c r="K64" i="10"/>
  <c r="A64" i="10"/>
  <c r="L63" i="10"/>
  <c r="K63" i="10"/>
  <c r="A63" i="10"/>
  <c r="L62" i="10"/>
  <c r="K62" i="10"/>
  <c r="A62" i="10"/>
  <c r="L61" i="10"/>
  <c r="K61" i="10"/>
  <c r="A61" i="10"/>
  <c r="L60" i="10"/>
  <c r="K60" i="10"/>
  <c r="A60" i="10"/>
  <c r="L59" i="10"/>
  <c r="K59" i="10"/>
  <c r="A59" i="10"/>
  <c r="L58" i="10"/>
  <c r="K58" i="10"/>
  <c r="A58" i="10"/>
  <c r="L57" i="10"/>
  <c r="K57" i="10"/>
  <c r="A57" i="10"/>
  <c r="L56" i="10"/>
  <c r="K56" i="10"/>
  <c r="A56" i="10"/>
  <c r="L55" i="10"/>
  <c r="K55" i="10"/>
  <c r="A55" i="10"/>
  <c r="L54" i="10"/>
  <c r="K54" i="10"/>
  <c r="A54" i="10"/>
  <c r="L53" i="10"/>
  <c r="K53" i="10"/>
  <c r="A53" i="10"/>
  <c r="L52" i="10"/>
  <c r="K52" i="10"/>
  <c r="A52" i="10"/>
  <c r="L51" i="10"/>
  <c r="K51" i="10"/>
  <c r="A51" i="10"/>
  <c r="L50" i="10"/>
  <c r="K50" i="10"/>
  <c r="A50" i="10"/>
  <c r="L49" i="10"/>
  <c r="K49" i="10"/>
  <c r="A49" i="10"/>
  <c r="L48" i="10"/>
  <c r="K48" i="10"/>
  <c r="A48" i="10"/>
  <c r="L47" i="10"/>
  <c r="K47" i="10"/>
  <c r="A47" i="10"/>
  <c r="L46" i="10"/>
  <c r="K46" i="10"/>
  <c r="A46" i="10"/>
  <c r="L45" i="10"/>
  <c r="K45" i="10"/>
  <c r="A45" i="10"/>
  <c r="L44" i="10"/>
  <c r="K44" i="10"/>
  <c r="A44" i="10"/>
  <c r="L43" i="10"/>
  <c r="K43" i="10"/>
  <c r="A43" i="10"/>
  <c r="L42" i="10"/>
  <c r="K42" i="10"/>
  <c r="A42" i="10"/>
  <c r="L41" i="10"/>
  <c r="K41" i="10"/>
  <c r="A41" i="10"/>
  <c r="L40" i="10"/>
  <c r="K40" i="10"/>
  <c r="A40" i="10"/>
  <c r="L39" i="10"/>
  <c r="K39" i="10"/>
  <c r="A39" i="10"/>
  <c r="L38" i="10"/>
  <c r="K38" i="10"/>
  <c r="A38" i="10"/>
  <c r="L37" i="10"/>
  <c r="K37" i="10"/>
  <c r="A37" i="10"/>
  <c r="L36" i="10"/>
  <c r="K36" i="10"/>
  <c r="A36" i="10"/>
  <c r="L35" i="10"/>
  <c r="K35" i="10"/>
  <c r="A35" i="10"/>
  <c r="L34" i="10"/>
  <c r="K34" i="10"/>
  <c r="A34" i="10"/>
  <c r="L33" i="10"/>
  <c r="K33" i="10"/>
  <c r="A33" i="10"/>
  <c r="L32" i="10"/>
  <c r="K32" i="10"/>
  <c r="A32" i="10"/>
  <c r="L31" i="10"/>
  <c r="K31" i="10"/>
  <c r="A31" i="10"/>
  <c r="L30" i="10"/>
  <c r="K30" i="10"/>
  <c r="A30" i="10"/>
  <c r="L29" i="10"/>
  <c r="K29" i="10"/>
  <c r="A29" i="10"/>
  <c r="L28" i="10"/>
  <c r="K28" i="10"/>
  <c r="A28" i="10"/>
  <c r="L27" i="10"/>
  <c r="K27" i="10"/>
  <c r="A27" i="10"/>
  <c r="L26" i="10"/>
  <c r="K26" i="10"/>
  <c r="A26" i="10"/>
  <c r="L25" i="10"/>
  <c r="K25" i="10"/>
  <c r="A25" i="10"/>
  <c r="L24" i="10"/>
  <c r="K24" i="10"/>
  <c r="A24" i="10"/>
  <c r="L23" i="10"/>
  <c r="K23" i="10"/>
  <c r="A23" i="10"/>
  <c r="L22" i="10"/>
  <c r="K22" i="10"/>
  <c r="A22" i="10"/>
  <c r="L21" i="10"/>
  <c r="K21" i="10"/>
  <c r="A21" i="10"/>
  <c r="L20" i="10"/>
  <c r="K20" i="10"/>
  <c r="A20" i="10"/>
  <c r="L19" i="10"/>
  <c r="K19" i="10"/>
  <c r="A19" i="10"/>
  <c r="L18" i="10"/>
  <c r="K18" i="10"/>
  <c r="A18" i="10"/>
  <c r="L17" i="10"/>
  <c r="K17" i="10"/>
  <c r="A17" i="10"/>
  <c r="L16" i="10"/>
  <c r="K16" i="10"/>
  <c r="A16" i="10"/>
  <c r="L15" i="10"/>
  <c r="K15" i="10"/>
  <c r="A15" i="10"/>
  <c r="L14" i="10"/>
  <c r="K14" i="10"/>
  <c r="A14" i="10"/>
  <c r="L13" i="10"/>
  <c r="K13" i="10"/>
  <c r="A13" i="10"/>
  <c r="G9" i="10"/>
  <c r="A9" i="10"/>
  <c r="G7" i="10"/>
  <c r="A7" i="10"/>
  <c r="G6" i="10"/>
  <c r="A6" i="10"/>
  <c r="G5" i="10"/>
  <c r="A5" i="10"/>
  <c r="G4" i="10"/>
  <c r="A4" i="10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E9" i="9"/>
  <c r="A9" i="9"/>
  <c r="E7" i="9"/>
  <c r="A7" i="9"/>
  <c r="E6" i="9"/>
  <c r="A6" i="9"/>
  <c r="E5" i="9"/>
  <c r="A5" i="9"/>
  <c r="E4" i="9"/>
  <c r="A4" i="9"/>
  <c r="C9" i="8"/>
  <c r="A9" i="8"/>
  <c r="C7" i="8"/>
  <c r="A7" i="8"/>
  <c r="C6" i="8"/>
  <c r="A6" i="8"/>
  <c r="C5" i="8"/>
  <c r="A5" i="8"/>
  <c r="C4" i="8"/>
  <c r="A4" i="8"/>
  <c r="D9" i="7"/>
  <c r="A9" i="7"/>
  <c r="D7" i="7"/>
  <c r="A7" i="7"/>
  <c r="D6" i="7"/>
  <c r="A6" i="7"/>
  <c r="D5" i="7"/>
  <c r="A5" i="7"/>
  <c r="D4" i="7"/>
  <c r="A4" i="7"/>
  <c r="E9" i="6"/>
  <c r="A9" i="6"/>
  <c r="E7" i="6"/>
  <c r="A7" i="6"/>
  <c r="E6" i="6"/>
  <c r="A6" i="6"/>
  <c r="E5" i="6"/>
  <c r="A5" i="6"/>
  <c r="E4" i="6"/>
  <c r="A4" i="6"/>
  <c r="C9" i="5"/>
  <c r="A9" i="5"/>
  <c r="C7" i="5"/>
  <c r="A7" i="5"/>
  <c r="C6" i="5"/>
  <c r="A6" i="5"/>
  <c r="C5" i="5"/>
  <c r="A5" i="5"/>
  <c r="C4" i="5"/>
  <c r="A4" i="5"/>
  <c r="F9" i="4"/>
  <c r="A9" i="4"/>
  <c r="F7" i="4"/>
  <c r="A7" i="4"/>
  <c r="F6" i="4"/>
  <c r="A6" i="4"/>
  <c r="F5" i="4"/>
  <c r="A5" i="4"/>
  <c r="F4" i="4"/>
  <c r="A4" i="4"/>
  <c r="E9" i="3"/>
  <c r="A9" i="3"/>
  <c r="E7" i="3"/>
  <c r="A7" i="3"/>
  <c r="E6" i="3"/>
  <c r="A6" i="3"/>
  <c r="E5" i="3"/>
  <c r="A5" i="3"/>
  <c r="E4" i="3"/>
  <c r="A4" i="3"/>
  <c r="B19" i="2"/>
  <c r="B16" i="2"/>
  <c r="B15" i="2"/>
  <c r="B14" i="2"/>
  <c r="B13" i="2"/>
  <c r="B9" i="2"/>
  <c r="A9" i="2"/>
  <c r="B7" i="2"/>
  <c r="A7" i="2"/>
  <c r="B6" i="2"/>
  <c r="A6" i="2"/>
  <c r="B5" i="2"/>
  <c r="A5" i="2"/>
  <c r="B4" i="2"/>
  <c r="A4" i="2"/>
</calcChain>
</file>

<file path=xl/sharedStrings.xml><?xml version="1.0" encoding="utf-8"?>
<sst xmlns="http://schemas.openxmlformats.org/spreadsheetml/2006/main" count="612" uniqueCount="409">
  <si>
    <t>PQD-FH 01  |  FQD editable templates</t>
  </si>
  <si>
    <t>Project setup and appendix navigation</t>
  </si>
  <si>
    <t>Project metadata</t>
  </si>
  <si>
    <t>Enter once</t>
  </si>
  <si>
    <t>Template control</t>
  </si>
  <si>
    <t>Reference</t>
  </si>
  <si>
    <t>Project / Facility</t>
  </si>
  <si>
    <t>Template revision</t>
  </si>
  <si>
    <t>1.00</t>
  </si>
  <si>
    <t>Project ID / Contract No.</t>
  </si>
  <si>
    <t>Procedure revision</t>
  </si>
  <si>
    <t>Client / Owner</t>
  </si>
  <si>
    <t>Planned publication date</t>
  </si>
  <si>
    <t>Contractor</t>
  </si>
  <si>
    <t>Author</t>
  </si>
  <si>
    <t>Arkadiusz Wójcik</t>
  </si>
  <si>
    <t>Site / Location</t>
  </si>
  <si>
    <t>License</t>
  </si>
  <si>
    <t>CC BY-SA 4.0</t>
  </si>
  <si>
    <t>Project workbook document ID</t>
  </si>
  <si>
    <t>Project workbook revision</t>
  </si>
  <si>
    <t>How to use</t>
  </si>
  <si>
    <t>Project workbook status</t>
  </si>
  <si>
    <t>Draft</t>
  </si>
  <si>
    <t>1. Complete the amber metadata fields. The appendix headers update automatically.</t>
  </si>
  <si>
    <t>Prepared by</t>
  </si>
  <si>
    <t>Reviewed by</t>
  </si>
  <si>
    <t>2. Define project requirements in A and register package IDs in B before completing related records.</t>
  </si>
  <si>
    <t>Approved by</t>
  </si>
  <si>
    <t>Project issue date</t>
  </si>
  <si>
    <t>3. Use dropdowns for controlled choices. Adapt project lists in Lists and project status names in H.</t>
  </si>
  <si>
    <t>Reporting / review date</t>
  </si>
  <si>
    <t>Required language(s)</t>
  </si>
  <si>
    <t>English</t>
  </si>
  <si>
    <t>4. D1, F and G apply to the package entered in B10. Duplicate these sheets for another package or review and preserve the completed record.</t>
  </si>
  <si>
    <t>Document-control procedure</t>
  </si>
  <si>
    <t>5. Enter data in the prepared table rows. Use Tab in the last table cell to extend the table; copy a blank template row to carry dropdowns and formulas.</t>
  </si>
  <si>
    <t>Worksheet</t>
  </si>
  <si>
    <t>Purpose</t>
  </si>
  <si>
    <t>6. Amber cells are setup inputs. Blue text is editable content. Grey cells contain formulas. Red shading identifies entries to review.</t>
  </si>
  <si>
    <t>A_Requirements</t>
  </si>
  <si>
    <t>Editable register / reference table</t>
  </si>
  <si>
    <t>B_Packages</t>
  </si>
  <si>
    <t>7. Set the reporting date to evaluate overdue actions. Readiness and acceptance decisions require the authorized reviewer.</t>
  </si>
  <si>
    <t>C_Deliverables</t>
  </si>
  <si>
    <t>D1_Package_Index</t>
  </si>
  <si>
    <t>8. Preserve controlled records and project approvals. The public template contains no completed project records.</t>
  </si>
  <si>
    <t>D2_Documents</t>
  </si>
  <si>
    <t>D3_Metadata</t>
  </si>
  <si>
    <t>D4_Classification</t>
  </si>
  <si>
    <t>E_Traceability</t>
  </si>
  <si>
    <t>F_Completion</t>
  </si>
  <si>
    <t>Record counts, actions and completeness checks</t>
  </si>
  <si>
    <t>G_Readiness</t>
  </si>
  <si>
    <t>22 criteria and recorded review decision</t>
  </si>
  <si>
    <t>H_Status_Codes</t>
  </si>
  <si>
    <t>I_Responsibilities</t>
  </si>
  <si>
    <t>Illustrative RACI with assignment checks</t>
  </si>
  <si>
    <t>Lists</t>
  </si>
  <si>
    <t>Project-adaptable choices</t>
  </si>
  <si>
    <t>Source: PQD-FH 01 Universal FQD Procedure, Rev. 1.00, Appendices A-I, pages 28-39.</t>
  </si>
  <si>
    <t>Electronic implementation: combined fields are split for filtering; scope fields and local checks support use of the original tables.</t>
  </si>
  <si>
    <t>Before use, adapt and identify this workbook as a controlled project document. Project requirements, record approvals and retention arrangements follow the applicable project procedures.</t>
  </si>
  <si>
    <t>GitHub repository: https://github.com/arkadiuszwojcik-tech/PQD-FH</t>
  </si>
  <si>
    <t>License: https://creativecommons.org/licenses/by-sa/4.0/</t>
  </si>
  <si>
    <t>Appendix A - Project-specific requirements</t>
  </si>
  <si>
    <t>PQD-FH 01  |  Editable templates 1.00  |  Procedure Rev. 1.00</t>
  </si>
  <si>
    <t>Record the controlled project requirements and approval references. The universal procedure remains unchanged unless a formally controlled deviation is required.</t>
  </si>
  <si>
    <t>Project requirement</t>
  </si>
  <si>
    <t>Value / Reference</t>
  </si>
  <si>
    <t>Notes / Owner</t>
  </si>
  <si>
    <t>Applicable document control procedure</t>
  </si>
  <si>
    <t>FQD numbering convention</t>
  </si>
  <si>
    <t>FQD package breakdown rule</t>
  </si>
  <si>
    <t>Required languages</t>
  </si>
  <si>
    <t>CDE / EDMS</t>
  </si>
  <si>
    <t>Required electronic formats</t>
  </si>
  <si>
    <t>Hard-copy quantities</t>
  </si>
  <si>
    <t>Hard-copy presentation requirements</t>
  </si>
  <si>
    <t>Maximum volume / file size</t>
  </si>
  <si>
    <t>Submission milestones and deadlines</t>
  </si>
  <si>
    <t>Review / approval route</t>
  </si>
  <si>
    <t>Required retention period</t>
  </si>
  <si>
    <t>Red-Line / As-Built dossier rule</t>
  </si>
  <si>
    <t>System Completion / Commissioning dossier interface</t>
  </si>
  <si>
    <t>Project-specific RFI meaning / code</t>
  </si>
  <si>
    <t>Project-specific WAP rule</t>
  </si>
  <si>
    <t>Project-specific MCR rule</t>
  </si>
  <si>
    <t>Mandatory package status codes</t>
  </si>
  <si>
    <t>Mandatory index / template</t>
  </si>
  <si>
    <t>Additional statutory / authority requirements</t>
  </si>
  <si>
    <t>Applicable standards / editions and requirement references</t>
  </si>
  <si>
    <t>Conditional readiness / acceptance authority and closure rules</t>
  </si>
  <si>
    <t>Record custody, access, backup and migration requirements</t>
  </si>
  <si>
    <t>Externally referenced records and receiving-party access</t>
  </si>
  <si>
    <t>Changes after acceptance and resubmission rules</t>
  </si>
  <si>
    <t>Document classification and project-code mapping</t>
  </si>
  <si>
    <t>Asset identification scheme and cross-reference rules</t>
  </si>
  <si>
    <t>Software and configuration handover scope</t>
  </si>
  <si>
    <t>Appendix B - FQD package register</t>
  </si>
  <si>
    <t>Use unique package IDs. Record exclusions, shared records, boundary-document revisions and execution milestones or controlled schedule references in Interfaces / Notes.</t>
  </si>
  <si>
    <t>Package ID</t>
  </si>
  <si>
    <t>Parent / System</t>
  </si>
  <si>
    <t>Package title / Scope</t>
  </si>
  <si>
    <t>Discipline / Area</t>
  </si>
  <si>
    <t>Package owner</t>
  </si>
  <si>
    <t>Planned completion</t>
  </si>
  <si>
    <t>Planned submission</t>
  </si>
  <si>
    <t>Status</t>
  </si>
  <si>
    <t>Interfaces / Notes</t>
  </si>
  <si>
    <t>Appendix C - FQD deliverables matrix</t>
  </si>
  <si>
    <t>One row per deliverable. Identify requirement revision and clause/activity. Record justified N/A dispositions and approval references in Comment / N/A approval.</t>
  </si>
  <si>
    <t>Activity / Item</t>
  </si>
  <si>
    <t>Requirement source</t>
  </si>
  <si>
    <t>Acceptance criterion</t>
  </si>
  <si>
    <t>Required record</t>
  </si>
  <si>
    <t>ITP / ITPL / WAP ref.</t>
  </si>
  <si>
    <t>Responsible party</t>
  </si>
  <si>
    <t>Planned date</t>
  </si>
  <si>
    <t>FQD section</t>
  </si>
  <si>
    <t>Comment / N/A approval</t>
  </si>
  <si>
    <t>Appendix D.1 - Universal FQD package index</t>
  </si>
  <si>
    <t>Select the package and milestone. Preserve generic applicability; record the project decision and any approved N/A justification in Project notes. Duplicate this sheet for each package.</t>
  </si>
  <si>
    <t>Milestone / review ref.</t>
  </si>
  <si>
    <t>No.</t>
  </si>
  <si>
    <t>Section</t>
  </si>
  <si>
    <t>Generic applicability</t>
  </si>
  <si>
    <t>Project applicability</t>
  </si>
  <si>
    <t>Project notes</t>
  </si>
  <si>
    <t>00</t>
  </si>
  <si>
    <t>Cover and Identification</t>
  </si>
  <si>
    <t>Required</t>
  </si>
  <si>
    <t>01</t>
  </si>
  <si>
    <t>Document Control</t>
  </si>
  <si>
    <t>02</t>
  </si>
  <si>
    <t>FQD Index</t>
  </si>
  <si>
    <t>03</t>
  </si>
  <si>
    <t>Scope and Boundaries</t>
  </si>
  <si>
    <t>04</t>
  </si>
  <si>
    <t>Applicable Requirements</t>
  </si>
  <si>
    <t>05</t>
  </si>
  <si>
    <t>Quality Plan / ITP / ITPL / WAP</t>
  </si>
  <si>
    <t>As applicable</t>
  </si>
  <si>
    <t>06</t>
  </si>
  <si>
    <t>Approved Design Documents</t>
  </si>
  <si>
    <t>07</t>
  </si>
  <si>
    <t>Material / Equipment Register</t>
  </si>
  <si>
    <t>08</t>
  </si>
  <si>
    <t>Material / Product Compliance Records</t>
  </si>
  <si>
    <t>09</t>
  </si>
  <si>
    <t>Material / Equipment Traceability</t>
  </si>
  <si>
    <t>10</t>
  </si>
  <si>
    <t>Vendor Documentation</t>
  </si>
  <si>
    <t>11</t>
  </si>
  <si>
    <t>Personnel Qualifications</t>
  </si>
  <si>
    <t>12</t>
  </si>
  <si>
    <t>Inspection Records</t>
  </si>
  <si>
    <t>13</t>
  </si>
  <si>
    <t>Test Records</t>
  </si>
  <si>
    <t>14</t>
  </si>
  <si>
    <t>Calibration / Verification Records</t>
  </si>
  <si>
    <t>15</t>
  </si>
  <si>
    <t>NCR / Deviation Records</t>
  </si>
  <si>
    <t>16</t>
  </si>
  <si>
    <t>Punch / Open Points</t>
  </si>
  <si>
    <t>17</t>
  </si>
  <si>
    <t>Completion Records</t>
  </si>
  <si>
    <t>18</t>
  </si>
  <si>
    <t>Precommissioning / Commissioning Records</t>
  </si>
  <si>
    <t>19</t>
  </si>
  <si>
    <t>Red-Line / As-Built Reference</t>
  </si>
  <si>
    <t>20</t>
  </si>
  <si>
    <t>FQD Acceptance and Close-Out</t>
  </si>
  <si>
    <t>21</t>
  </si>
  <si>
    <t>Controlled Electronic FQD Package</t>
  </si>
  <si>
    <t>Appendix D.2 - Document register</t>
  </si>
  <si>
    <t>List included and referenced controlled records at the required revision and status. Link D.3 using Document / Record ID plus revision. Preserve acceptance evidence in the controlled workflow.</t>
  </si>
  <si>
    <t>Document / Record ID</t>
  </si>
  <si>
    <t>Title / Scope</t>
  </si>
  <si>
    <t>Revision</t>
  </si>
  <si>
    <t>File / controlled location</t>
  </si>
  <si>
    <t>Included / Referenced</t>
  </si>
  <si>
    <t>Appendix D.3 - Linked classification and scope metadata</t>
  </si>
  <si>
    <t>Use the same document ID and revision as D.2. Keep multi-asset, multi-change and multi-package relationships controlled. Enter N/A when no change reference applies.</t>
  </si>
  <si>
    <t>Document type / Project code</t>
  </si>
  <si>
    <t>Lifecycle stage</t>
  </si>
  <si>
    <t>System / Asset / Scope</t>
  </si>
  <si>
    <t>Change / RLM reference</t>
  </si>
  <si>
    <t>Related package IDs</t>
  </si>
  <si>
    <t>Appendix D.4 - Document classification and project mapping</t>
  </si>
  <si>
    <t>Map the generic groups to approved project document types or codes. Typical sections are guidance; required records and acceptance criteria remain project-specific.</t>
  </si>
  <si>
    <t>Generic document group</t>
  </si>
  <si>
    <t>Typical content</t>
  </si>
  <si>
    <t>Typical FQD section</t>
  </si>
  <si>
    <t>Project type / Code</t>
  </si>
  <si>
    <t>Requirements and identification</t>
  </si>
  <si>
    <t>Specifications; technical and identification standards; approved project requirements.</t>
  </si>
  <si>
    <t>Quality and execution planning</t>
  </si>
  <si>
    <t>Quality plans; ITP/ITPL; work activity plans; method statements and inspection or test procedures.</t>
  </si>
  <si>
    <t>Design and engineering information</t>
  </si>
  <si>
    <t>P&amp;IDs; single-line, wiring and termination diagrams; layouts; equipment, cable, instrument and I/O lists; datasheets.</t>
  </si>
  <si>
    <t>06; 19 for final as-built references</t>
  </si>
  <si>
    <t>Product conformity and traceability</t>
  </si>
  <si>
    <t>Material compliance records; certificates; declarations; item, serial, batch or lot relationships.</t>
  </si>
  <si>
    <t>07–09</t>
  </si>
  <si>
    <t>Manufacturing and factory evidence</t>
  </si>
  <si>
    <t>Manufacturing dossier and index; factory inspection and test records; supplier conformity evidence.</t>
  </si>
  <si>
    <t>10; 08, 12 or 13 by record purpose</t>
  </si>
  <si>
    <t>Installation evidence</t>
  </si>
  <si>
    <t>Installation conformity dossier; field inspection records; installation checks and measurements.</t>
  </si>
  <si>
    <t>12–13; 17 for completion</t>
  </si>
  <si>
    <t>Commissioning evidence</t>
  </si>
  <si>
    <t>Pre-commissioning and functional test records; system verification and commissioning completion evidence.</t>
  </si>
  <si>
    <t>18; 17 for completion</t>
  </si>
  <si>
    <t>Competence and measurement assurance</t>
  </si>
  <si>
    <t>Personnel qualifications and authorizations; calibration or verification records.</t>
  </si>
  <si>
    <t>11; 14</t>
  </si>
  <si>
    <t>Nonconformity and change control</t>
  </si>
  <si>
    <t>NCR and concession records; punch closure; change approvals; RLM and as-built incorporation references.</t>
  </si>
  <si>
    <t>15–16; 19</t>
  </si>
  <si>
    <t>Operation and maintenance information</t>
  </si>
  <si>
    <t>Required supplier manuals, operating or maintenance instructions, spare-parts information and training records.</t>
  </si>
  <si>
    <t>10 or controlled handover reference</t>
  </si>
  <si>
    <t>Software and configuration</t>
  </si>
  <si>
    <t>Required native controller projects, source files, parameter sets and configuration manifests; readable programming documentation.</t>
  </si>
  <si>
    <t>21; linked design and test references</t>
  </si>
  <si>
    <t>Package control and acceptance</t>
  </si>
  <si>
    <t>Package and document indexes; boundary definitions; transmittals; review, completion and acceptance records.</t>
  </si>
  <si>
    <t>00–03; 17; 20–21</t>
  </si>
  <si>
    <t>Appendix E - Material / equipment traceability</t>
  </si>
  <si>
    <t>Use the required level of traceability. Include installed location where no unique tag exists. Keep additional certificate, revision and inspection references in linked controlled registers.</t>
  </si>
  <si>
    <t>Installed ID / Tag</t>
  </si>
  <si>
    <t>Description</t>
  </si>
  <si>
    <t>Manufacturer</t>
  </si>
  <si>
    <t>Type / Model</t>
  </si>
  <si>
    <t>Batch / Lot / Heat / Drum / Serial</t>
  </si>
  <si>
    <t>Certificate / MCR / Doc ID + Rev.</t>
  </si>
  <si>
    <t>Inspection / Test ref.</t>
  </si>
  <si>
    <t>Appendix F - FQD completion status register</t>
  </si>
  <si>
    <t>Received, Reviewed and Accepted are cumulative counts of distinct records. Exclude superseded duplicates and conditional acceptance. For Required = N, enter the approved N/A reference. Duplicate per package.</t>
  </si>
  <si>
    <t>FQD section / Deliverable</t>
  </si>
  <si>
    <t>Required Y / N</t>
  </si>
  <si>
    <t>Expected records</t>
  </si>
  <si>
    <t>Received</t>
  </si>
  <si>
    <t>Reviewed</t>
  </si>
  <si>
    <t>Accepted</t>
  </si>
  <si>
    <t>Open comments / Action / N/A approval</t>
  </si>
  <si>
    <t>Owner</t>
  </si>
  <si>
    <t>Due date</t>
  </si>
  <si>
    <t>Accepted / Expected</t>
  </si>
  <si>
    <t>Count check</t>
  </si>
  <si>
    <t>Appendix G - FQD package readiness checklist</t>
  </si>
  <si>
    <t>Assess the applicable milestone. Record evidence, actions, owners and dates. Justify N/A and reference approval where required. Record the authorized readiness decision and conditions below and in the controlled package register.</t>
  </si>
  <si>
    <t>Readiness criterion</t>
  </si>
  <si>
    <t>Yes / No / N/A</t>
  </si>
  <si>
    <t>Evidence / Reference</t>
  </si>
  <si>
    <t>Outstanding action / Conditions</t>
  </si>
  <si>
    <t>Due date / Milestone</t>
  </si>
  <si>
    <t>Package scope and boundaries confirmed</t>
  </si>
  <si>
    <t>Package owner identified</t>
  </si>
  <si>
    <t>Deliverables matrix current</t>
  </si>
  <si>
    <t>Required ITP / ITPL / WAP records present</t>
  </si>
  <si>
    <t>Material / product compliance evidence complete</t>
  </si>
  <si>
    <t>Required traceability complete</t>
  </si>
  <si>
    <t>Inspection records completed, authenticated and at required status; inspection outcomes, actual inspected scope and links to subsequent inspections verified where applicable</t>
  </si>
  <si>
    <t>Test records completed, authenticated and at required status; results and referenced reports or attachments verified against the applicable acceptance criteria</t>
  </si>
  <si>
    <t>Calibration / verification valid at test date</t>
  </si>
  <si>
    <t>Hold / witness point dispositions recorded</t>
  </si>
  <si>
    <t>NCR / deviation status acceptable</t>
  </si>
  <si>
    <t>Punch / open-point status acceptable for the milestone; required closure evidence verified; permitted residual items have assigned owners and agreed closure requirements and dates or milestones</t>
  </si>
  <si>
    <t>RLM / As-Built status and affected-document updates confirmed</t>
  </si>
  <si>
    <t>Completion / commissioning interface confirmed</t>
  </si>
  <si>
    <t>Revisions, authentication and approvals correct; required stamps and signatory identities, roles and authority verified</t>
  </si>
  <si>
    <t>Index matches package content</t>
  </si>
  <si>
    <t>Files readable, retrievable and correctly named; searchable where required</t>
  </si>
  <si>
    <t>Review comments dispositioned</t>
  </si>
  <si>
    <t>External references accessible to designated recipients</t>
  </si>
  <si>
    <t>Document types, lifecycle stages and asset / system links consistent</t>
  </si>
  <si>
    <t>Manufacturing, installation and commissioning evidence reconciled to the milestone</t>
  </si>
  <si>
    <t>Required software / configuration files match the accepted baseline</t>
  </si>
  <si>
    <t>Answered criteria</t>
  </si>
  <si>
    <t>No responses</t>
  </si>
  <si>
    <t>Readiness decision</t>
  </si>
  <si>
    <t>Review date</t>
  </si>
  <si>
    <t>Decision / approval ref.</t>
  </si>
  <si>
    <t>Not reviewed</t>
  </si>
  <si>
    <t>Authorized conditions / decision record</t>
  </si>
  <si>
    <t>A count of Yes responses does not authorize submission or acceptance. Record permitted residual items, approval references and closure requirements. Preserve each completed package review as a controlled record.</t>
  </si>
  <si>
    <t>Appendix H - Recommended FQD package status codes</t>
  </si>
  <si>
    <t>Generic codes and meanings are retained in A-C. Adapt the project code and status in D-E to approved project rules; these status names feed the package dropdown in B.</t>
  </si>
  <si>
    <t>Generic code</t>
  </si>
  <si>
    <t>Generic status</t>
  </si>
  <si>
    <t>Generic meaning</t>
  </si>
  <si>
    <t>Project code</t>
  </si>
  <si>
    <t>Project status</t>
  </si>
  <si>
    <t>PLN</t>
  </si>
  <si>
    <t>Planned</t>
  </si>
  <si>
    <t>Package defined but compilation not started.</t>
  </si>
  <si>
    <t>IP</t>
  </si>
  <si>
    <t>In Progress</t>
  </si>
  <si>
    <t>Records are being generated and compiled.</t>
  </si>
  <si>
    <t>IR</t>
  </si>
  <si>
    <t>Internal Review</t>
  </si>
  <si>
    <t>Package is undergoing internal completeness / conformity review.</t>
  </si>
  <si>
    <t>RFS</t>
  </si>
  <si>
    <t>Ready for Submission</t>
  </si>
  <si>
    <t>Internal readiness criteria satisfied.</t>
  </si>
  <si>
    <t>SUB</t>
  </si>
  <si>
    <t>Submitted</t>
  </si>
  <si>
    <t>Formally transmitted for review / acceptance.</t>
  </si>
  <si>
    <t>UR</t>
  </si>
  <si>
    <t>Under Review</t>
  </si>
  <si>
    <t>Package is undergoing formal review by the designated reviewing authority.</t>
  </si>
  <si>
    <t>CMT</t>
  </si>
  <si>
    <t>Comment Resolution</t>
  </si>
  <si>
    <t>Returned with review comments requiring action.</t>
  </si>
  <si>
    <t>RSUB</t>
  </si>
  <si>
    <t>Resubmitted</t>
  </si>
  <si>
    <t>Reissued after comment resolution.</t>
  </si>
  <si>
    <t>ACC</t>
  </si>
  <si>
    <t>Accepted by the designated reviewing authority to the required status.</t>
  </si>
  <si>
    <t>CLO</t>
  </si>
  <si>
    <t>Closed</t>
  </si>
  <si>
    <t>Package accepted and all required close-out actions completed.</t>
  </si>
  <si>
    <t>HOLD</t>
  </si>
  <si>
    <t>On Hold</t>
  </si>
  <si>
    <t>Progress paused pending defined prerequisite, decision or corrective action.</t>
  </si>
  <si>
    <t>CRDY</t>
  </si>
  <si>
    <t>Conditionally Ready</t>
  </si>
  <si>
    <t>Optional. Submission permitted by an authorized decision with identified residual items, owners and closure dates.</t>
  </si>
  <si>
    <t>CACC</t>
  </si>
  <si>
    <t>Conditionally Accepted</t>
  </si>
  <si>
    <t>Optional. Accepted subject to recorded conditions, assigned owners and agreed closure dates; distinct from full acceptance.</t>
  </si>
  <si>
    <t>REJ</t>
  </si>
  <si>
    <t>Rejected / Revision Required</t>
  </si>
  <si>
    <t>Optional. Acceptance criteria not met; corrective action and resubmission required.</t>
  </si>
  <si>
    <t>Appendix I - Example responsibility matrix</t>
  </si>
  <si>
    <t>Illustrative assignments: adapt to the contract and approved project procedures. Assign one accountable role per activity and allocate work where several roles are responsible. R = responsible; A = accountable; C = consulted; I = informed.</t>
  </si>
  <si>
    <t>Activity</t>
  </si>
  <si>
    <t>FQD coordinator</t>
  </si>
  <si>
    <t>QA/QC</t>
  </si>
  <si>
    <t>Construction</t>
  </si>
  <si>
    <t>Commissioning</t>
  </si>
  <si>
    <t>Document control</t>
  </si>
  <si>
    <t>Contractor PM</t>
  </si>
  <si>
    <t>A count</t>
  </si>
  <si>
    <t>R count</t>
  </si>
  <si>
    <t>Assignment check</t>
  </si>
  <si>
    <t>Define package scope</t>
  </si>
  <si>
    <t>A</t>
  </si>
  <si>
    <t>C</t>
  </si>
  <si>
    <t>R</t>
  </si>
  <si>
    <t>I</t>
  </si>
  <si>
    <t>Define required records</t>
  </si>
  <si>
    <t>Generate construction records</t>
  </si>
  <si>
    <t>Generate commissioning records</t>
  </si>
  <si>
    <t>Verify quality records</t>
  </si>
  <si>
    <t>A/R</t>
  </si>
  <si>
    <t>Maintain package register</t>
  </si>
  <si>
    <t>Package readiness review</t>
  </si>
  <si>
    <t>Formal submission</t>
  </si>
  <si>
    <t>Resolve review comments</t>
  </si>
  <si>
    <t>Final acceptance</t>
  </si>
  <si>
    <t>Project dropdown lists</t>
  </si>
  <si>
    <t>Adapt these options to approved project requirements. Keep entries contiguous within rows 13-52. Package statuses are maintained in H_Status_Codes.</t>
  </si>
  <si>
    <t>Disciplines</t>
  </si>
  <si>
    <t>Record Statuses</t>
  </si>
  <si>
    <t>Lifecycle Stages</t>
  </si>
  <si>
    <t>Traceability Statuses</t>
  </si>
  <si>
    <t>Inclusion Types</t>
  </si>
  <si>
    <t>Applicability Choices</t>
  </si>
  <si>
    <t>Required Choices</t>
  </si>
  <si>
    <t>Readiness Responses</t>
  </si>
  <si>
    <t>RACICodes</t>
  </si>
  <si>
    <t>Document Statuses</t>
  </si>
  <si>
    <t>Readiness Decisions</t>
  </si>
  <si>
    <t>Electrical</t>
  </si>
  <si>
    <t>Design / Engineering</t>
  </si>
  <si>
    <t>Pending</t>
  </si>
  <si>
    <t>Included</t>
  </si>
  <si>
    <t>Y</t>
  </si>
  <si>
    <t>Yes</t>
  </si>
  <si>
    <t>Instrumentation &amp; Control</t>
  </si>
  <si>
    <t>In Preparation</t>
  </si>
  <si>
    <t>Manufacturing / Factory</t>
  </si>
  <si>
    <t>Referenced</t>
  </si>
  <si>
    <t>N</t>
  </si>
  <si>
    <t>No</t>
  </si>
  <si>
    <t>Not ready</t>
  </si>
  <si>
    <t>Mechanical</t>
  </si>
  <si>
    <t>Delivery / Receipt</t>
  </si>
  <si>
    <t>Verified</t>
  </si>
  <si>
    <t>N/A</t>
  </si>
  <si>
    <t>For Review</t>
  </si>
  <si>
    <t>Civil / Structural</t>
  </si>
  <si>
    <t>Installation / Construction</t>
  </si>
  <si>
    <t>For Approval</t>
  </si>
  <si>
    <t>Process</t>
  </si>
  <si>
    <t>Pre-commissioning</t>
  </si>
  <si>
    <t>Approved</t>
  </si>
  <si>
    <t>Piping</t>
  </si>
  <si>
    <t>Rejected</t>
  </si>
  <si>
    <t>Issued</t>
  </si>
  <si>
    <t>HVAC</t>
  </si>
  <si>
    <t>Acceptance / Handover</t>
  </si>
  <si>
    <t>Superseded</t>
  </si>
  <si>
    <t>Multidiscipline</t>
  </si>
  <si>
    <t>Operation / Maintenance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</si>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</sst>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10">
    <font>
      <sz val="11"/>
      <name val="Carlito"/>
    </font>
    <font>
      <sz val="10"/>
      <color rgb="FF20374B"/>
      <name val="Arial"/>
    </font>
    <font>
      <b/>
      <sz val="16"/>
      <color rgb="FF1F4E78"/>
      <name val="Arial"/>
    </font>
    <font>
      <sz val="11"/>
      <color rgb="FF2B6E9F"/>
      <name val="Arial"/>
    </font>
    <font>
      <b/>
      <sz val="10"/>
      <color rgb="FFFFFFFF"/>
      <name val="Arial"/>
    </font>
    <font>
      <sz val="10"/>
      <color rgb="FF174EA6"/>
      <name val="Arial"/>
    </font>
    <font>
      <b/>
      <sz val="10"/>
      <color rgb="FF20374B"/>
      <name val="Arial"/>
    </font>
    <font>
      <sz val="10"/>
      <color rgb="FF2B6E9F"/>
      <name val="Arial"/>
    </font>
    <font>
      <b/>
      <sz val="15"/>
      <color rgb="FF1F4E78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7FC"/>
      </patternFill>
    </fill>
    <fill>
      <patternFill patternType="solid">
        <fgColor rgb="FFEEF1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2B6E9F"/>
      </bottom>
      <diagonal/>
    </border>
  </borders>
  <cellStyleXfs count="2">
    <xf numFmtId="0" fontId="0" fillId="0" borderId="0"/>
    <xf numFmtId="0" fontId="9" fillId="0" borderId="0"/>
  </cellStyleXfs>
  <cellXfs count="32">
    <xf numFmtId="0" fontId="0" fillId="0" borderId="0" xfId="0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vertical="center" wrapText="1"/>
    </xf>
    <xf numFmtId="0" fontId="5" fillId="3" borderId="0" xfId="1" applyFont="1" applyFill="1" applyAlignment="1">
      <alignment vertical="center"/>
    </xf>
    <xf numFmtId="49" fontId="5" fillId="3" borderId="0" xfId="1" applyNumberFormat="1" applyFont="1" applyFill="1" applyAlignment="1">
      <alignment vertical="center"/>
    </xf>
    <xf numFmtId="164" fontId="5" fillId="3" borderId="0" xfId="1" applyNumberFormat="1" applyFont="1" applyFill="1" applyAlignment="1">
      <alignment vertical="center"/>
    </xf>
    <xf numFmtId="49" fontId="1" fillId="0" borderId="0" xfId="1" applyNumberFormat="1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1" fillId="0" borderId="0" xfId="1" applyFont="1" applyAlignment="1">
      <alignment vertical="center" wrapText="1"/>
    </xf>
    <xf numFmtId="0" fontId="7" fillId="0" borderId="0" xfId="1" applyFont="1" applyAlignment="1">
      <alignment vertical="center"/>
    </xf>
    <xf numFmtId="0" fontId="1" fillId="4" borderId="0" xfId="1" applyFont="1" applyFill="1" applyAlignment="1">
      <alignment vertical="center"/>
    </xf>
    <xf numFmtId="0" fontId="1" fillId="4" borderId="0" xfId="1" applyFont="1" applyFill="1" applyAlignment="1">
      <alignment vertical="center" wrapText="1"/>
    </xf>
    <xf numFmtId="0" fontId="5" fillId="0" borderId="0" xfId="1" applyFont="1" applyAlignment="1">
      <alignment vertical="center" wrapText="1"/>
    </xf>
    <xf numFmtId="0" fontId="4" fillId="2" borderId="0" xfId="1" applyFont="1" applyFill="1" applyAlignment="1">
      <alignment horizontal="center" vertical="center" wrapText="1"/>
    </xf>
    <xf numFmtId="0" fontId="1" fillId="5" borderId="0" xfId="1" applyFont="1" applyFill="1" applyAlignment="1">
      <alignment vertical="center" wrapText="1"/>
    </xf>
    <xf numFmtId="49" fontId="5" fillId="0" borderId="0" xfId="1" applyNumberFormat="1" applyFont="1" applyAlignment="1">
      <alignment vertical="center" wrapText="1"/>
    </xf>
    <xf numFmtId="164" fontId="5" fillId="0" borderId="0" xfId="1" applyNumberFormat="1" applyFont="1" applyAlignment="1">
      <alignment vertical="center" wrapText="1"/>
    </xf>
    <xf numFmtId="0" fontId="5" fillId="3" borderId="0" xfId="1" applyFont="1" applyFill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1" fontId="5" fillId="0" borderId="0" xfId="1" applyNumberFormat="1" applyFont="1" applyAlignment="1">
      <alignment vertical="center" wrapText="1"/>
    </xf>
    <xf numFmtId="9" fontId="1" fillId="5" borderId="0" xfId="1" applyNumberFormat="1" applyFont="1" applyFill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7" fillId="0" borderId="1" xfId="1" applyFont="1" applyBorder="1" applyAlignment="1">
      <alignment vertical="center"/>
    </xf>
    <xf numFmtId="0" fontId="1" fillId="4" borderId="0" xfId="1" applyFont="1" applyFill="1" applyAlignment="1">
      <alignment vertical="center" wrapText="1"/>
    </xf>
    <xf numFmtId="0" fontId="1" fillId="4" borderId="0" xfId="1" applyFont="1" applyFill="1" applyAlignment="1">
      <alignment vertical="center"/>
    </xf>
    <xf numFmtId="0" fontId="5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Normalny" xfId="0" builtinId="0"/>
  </cellStyles>
  <dxfs count="12">
    <dxf>
      <font>
        <color rgb="FF9C2A18"/>
      </font>
      <fill>
        <patternFill patternType="solid">
          <bgColor rgb="FFFCE4D6"/>
        </patternFill>
      </fill>
    </dxf>
    <dxf>
      <font>
        <color rgb="FF9C2A18"/>
      </font>
      <fill>
        <patternFill patternType="solid">
          <bgColor rgb="FFFCE4D6"/>
        </patternFill>
      </fill>
    </dxf>
    <dxf>
      <font>
        <color rgb="FF9C2A18"/>
      </font>
      <fill>
        <patternFill patternType="solid">
          <bgColor rgb="FFFCE4D6"/>
        </patternFill>
      </fill>
    </dxf>
    <dxf>
      <fill>
        <patternFill patternType="solid">
          <bgColor rgb="FFE2EFDA"/>
        </patternFill>
      </fill>
    </dxf>
    <dxf>
      <font>
        <color rgb="FF9C2A18"/>
      </font>
      <fill>
        <patternFill patternType="solid">
          <bgColor rgb="FFFCE4D6"/>
        </patternFill>
      </fill>
    </dxf>
    <dxf>
      <font>
        <color rgb="FF9C2A18"/>
      </font>
      <fill>
        <patternFill patternType="solid">
          <bgColor rgb="FFFCE4D6"/>
        </patternFill>
      </fill>
    </dxf>
    <dxf>
      <font>
        <color rgb="FF9C2A18"/>
      </font>
      <fill>
        <patternFill patternType="solid">
          <bgColor rgb="FFFCE4D6"/>
        </patternFill>
      </fill>
    </dxf>
    <dxf>
      <font>
        <color rgb="FF9C2A18"/>
      </font>
      <fill>
        <patternFill patternType="solid">
          <bgColor rgb="FFFCE4D6"/>
        </patternFill>
      </fill>
    </dxf>
    <dxf>
      <font>
        <color rgb="FF9C2A18"/>
      </font>
      <fill>
        <patternFill patternType="solid">
          <bgColor rgb="FFFCE4D6"/>
        </patternFill>
      </fill>
    </dxf>
    <dxf>
      <font>
        <color rgb="FF9C2A18"/>
      </font>
      <fill>
        <patternFill patternType="solid">
          <bgColor rgb="FFFCE4D6"/>
        </patternFill>
      </fill>
    </dxf>
    <dxf>
      <font>
        <color rgb="FF9C2A18"/>
      </font>
      <fill>
        <patternFill patternType="solid">
          <bgColor rgb="FFFCE4D6"/>
        </patternFill>
      </fill>
    </dxf>
    <dxf>
      <font>
        <color rgb="FF9C2A18"/>
      </font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Requirements" displayName="ProjectRequirements" ref="A12:C43" totalsRowShown="0">
  <autoFilter ref="A12:C43" xr:uid="{00000000-0009-0000-0100-000001000000}"/>
  <tableColumns count="3">
    <tableColumn id="1" xr3:uid="{00000000-0010-0000-0000-000001000000}" name="Project requirement"/>
    <tableColumn id="2" xr3:uid="{00000000-0010-0000-0000-000002000000}" name="Value / Reference"/>
    <tableColumn id="3" xr3:uid="{00000000-0010-0000-0000-000003000000}" name="Notes / 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ckageRegister" displayName="PackageRegister" ref="A12:I212" totalsRowShown="0">
  <autoFilter ref="A12:I212" xr:uid="{00000000-0009-0000-0100-000002000000}"/>
  <tableColumns count="9">
    <tableColumn id="1" xr3:uid="{00000000-0010-0000-0100-000001000000}" name="Package ID"/>
    <tableColumn id="2" xr3:uid="{00000000-0010-0000-0100-000002000000}" name="Parent / System"/>
    <tableColumn id="3" xr3:uid="{00000000-0010-0000-0100-000003000000}" name="Package title / Scope"/>
    <tableColumn id="4" xr3:uid="{00000000-0010-0000-0100-000004000000}" name="Discipline / Area"/>
    <tableColumn id="5" xr3:uid="{00000000-0010-0000-0100-000005000000}" name="Package owner"/>
    <tableColumn id="6" xr3:uid="{00000000-0010-0000-0100-000006000000}" name="Planned completion"/>
    <tableColumn id="7" xr3:uid="{00000000-0010-0000-0100-000007000000}" name="Planned submission"/>
    <tableColumn id="8" xr3:uid="{00000000-0010-0000-0100-000008000000}" name="Status"/>
    <tableColumn id="9" xr3:uid="{00000000-0010-0000-0100-000009000000}" name="Interfaces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liverablesMatrix" displayName="DeliverablesMatrix" ref="A12:K312" totalsRowShown="0">
  <autoFilter ref="A12:K312" xr:uid="{00000000-0009-0000-0100-000003000000}"/>
  <tableColumns count="11">
    <tableColumn id="1" xr3:uid="{00000000-0010-0000-0200-000001000000}" name="Package ID"/>
    <tableColumn id="2" xr3:uid="{00000000-0010-0000-0200-000002000000}" name="Activity / Item"/>
    <tableColumn id="3" xr3:uid="{00000000-0010-0000-0200-000003000000}" name="Requirement source"/>
    <tableColumn id="4" xr3:uid="{00000000-0010-0000-0200-000004000000}" name="Acceptance criterion"/>
    <tableColumn id="5" xr3:uid="{00000000-0010-0000-0200-000005000000}" name="Required record"/>
    <tableColumn id="6" xr3:uid="{00000000-0010-0000-0200-000006000000}" name="ITP / ITPL / WAP ref."/>
    <tableColumn id="7" xr3:uid="{00000000-0010-0000-0200-000007000000}" name="Responsible party"/>
    <tableColumn id="8" xr3:uid="{00000000-0010-0000-0200-000008000000}" name="Planned date"/>
    <tableColumn id="9" xr3:uid="{00000000-0010-0000-0200-000009000000}" name="FQD section"/>
    <tableColumn id="10" xr3:uid="{00000000-0010-0000-0200-00000A000000}" name="Status"/>
    <tableColumn id="11" xr3:uid="{00000000-0010-0000-0200-00000B000000}" name="Comment / N/A approv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ackageIndex" displayName="PackageIndex" ref="A12:E34" totalsRowShown="0">
  <autoFilter ref="A12:E34" xr:uid="{00000000-0009-0000-0100-000004000000}"/>
  <tableColumns count="5">
    <tableColumn id="1" xr3:uid="{00000000-0010-0000-0300-000001000000}" name="No."/>
    <tableColumn id="2" xr3:uid="{00000000-0010-0000-0300-000002000000}" name="Section"/>
    <tableColumn id="3" xr3:uid="{00000000-0010-0000-0300-000003000000}" name="Generic applicability"/>
    <tableColumn id="4" xr3:uid="{00000000-0010-0000-0300-000004000000}" name="Project applicability"/>
    <tableColumn id="5" xr3:uid="{00000000-0010-0000-0300-000005000000}" name="Project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ocumentRegister" displayName="DocumentRegister" ref="A12:H312" totalsRowShown="0">
  <autoFilter ref="A12:H312" xr:uid="{00000000-0009-0000-0100-000005000000}"/>
  <tableColumns count="8">
    <tableColumn id="1" xr3:uid="{00000000-0010-0000-0400-000001000000}" name="Package ID"/>
    <tableColumn id="2" xr3:uid="{00000000-0010-0000-0400-000002000000}" name="FQD section"/>
    <tableColumn id="3" xr3:uid="{00000000-0010-0000-0400-000003000000}" name="Document / Record ID"/>
    <tableColumn id="4" xr3:uid="{00000000-0010-0000-0400-000004000000}" name="Title / Scope"/>
    <tableColumn id="5" xr3:uid="{00000000-0010-0000-0400-000005000000}" name="Revision"/>
    <tableColumn id="6" xr3:uid="{00000000-0010-0000-0400-000006000000}" name="Status"/>
    <tableColumn id="7" xr3:uid="{00000000-0010-0000-0400-000007000000}" name="File / controlled location"/>
    <tableColumn id="8" xr3:uid="{00000000-0010-0000-0400-000008000000}" name="Included / Reference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opeMetadata" displayName="ScopeMetadata" ref="A12:G312" totalsRowShown="0">
  <autoFilter ref="A12:G312" xr:uid="{00000000-0009-0000-0100-000006000000}"/>
  <tableColumns count="7">
    <tableColumn id="1" xr3:uid="{00000000-0010-0000-0500-000001000000}" name="Document / Record ID"/>
    <tableColumn id="2" xr3:uid="{00000000-0010-0000-0500-000002000000}" name="Revision"/>
    <tableColumn id="3" xr3:uid="{00000000-0010-0000-0500-000003000000}" name="Document type / Project code"/>
    <tableColumn id="4" xr3:uid="{00000000-0010-0000-0500-000004000000}" name="Lifecycle stage"/>
    <tableColumn id="5" xr3:uid="{00000000-0010-0000-0500-000005000000}" name="System / Asset / Scope"/>
    <tableColumn id="6" xr3:uid="{00000000-0010-0000-0500-000006000000}" name="Change / RLM reference"/>
    <tableColumn id="7" xr3:uid="{00000000-0010-0000-0500-000007000000}" name="Related package I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lassificationMapping" displayName="ClassificationMapping" ref="A12:D24" totalsRowShown="0">
  <autoFilter ref="A12:D24" xr:uid="{00000000-0009-0000-0100-000007000000}"/>
  <tableColumns count="4">
    <tableColumn id="1" xr3:uid="{00000000-0010-0000-0600-000001000000}" name="Generic document group"/>
    <tableColumn id="2" xr3:uid="{00000000-0010-0000-0600-000002000000}" name="Typical content"/>
    <tableColumn id="3" xr3:uid="{00000000-0010-0000-0600-000003000000}" name="Typical FQD section"/>
    <tableColumn id="4" xr3:uid="{00000000-0010-0000-0600-000004000000}" name="Project type / Cod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raceabilityRegister" displayName="TraceabilityRegister" ref="A12:I312" totalsRowShown="0">
  <autoFilter ref="A12:I312" xr:uid="{00000000-0009-0000-0100-000008000000}"/>
  <tableColumns count="9">
    <tableColumn id="1" xr3:uid="{00000000-0010-0000-0700-000001000000}" name="No."/>
    <tableColumn id="2" xr3:uid="{00000000-0010-0000-0700-000002000000}" name="Installed ID / Tag"/>
    <tableColumn id="3" xr3:uid="{00000000-0010-0000-0700-000003000000}" name="Description"/>
    <tableColumn id="4" xr3:uid="{00000000-0010-0000-0700-000004000000}" name="Manufacturer"/>
    <tableColumn id="5" xr3:uid="{00000000-0010-0000-0700-000005000000}" name="Type / Model"/>
    <tableColumn id="6" xr3:uid="{00000000-0010-0000-0700-000006000000}" name="Batch / Lot / Heat / Drum / Serial"/>
    <tableColumn id="7" xr3:uid="{00000000-0010-0000-0700-000007000000}" name="Certificate / MCR / Doc ID + Rev."/>
    <tableColumn id="8" xr3:uid="{00000000-0010-0000-0700-000008000000}" name="Inspection / Test ref."/>
    <tableColumn id="9" xr3:uid="{00000000-0010-0000-0700-000009000000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mpletionRegister" displayName="CompletionRegister" ref="A12:L212" totalsRowShown="0">
  <autoFilter ref="A12:L212" xr:uid="{00000000-0009-0000-0100-000009000000}"/>
  <tableColumns count="12">
    <tableColumn id="1" xr3:uid="{00000000-0010-0000-0800-000001000000}" name="No."/>
    <tableColumn id="2" xr3:uid="{00000000-0010-0000-0800-000002000000}" name="FQD section / Deliverable"/>
    <tableColumn id="3" xr3:uid="{00000000-0010-0000-0800-000003000000}" name="Required Y / N"/>
    <tableColumn id="4" xr3:uid="{00000000-0010-0000-0800-000004000000}" name="Expected records"/>
    <tableColumn id="5" xr3:uid="{00000000-0010-0000-0800-000005000000}" name="Received"/>
    <tableColumn id="6" xr3:uid="{00000000-0010-0000-0800-000006000000}" name="Reviewed"/>
    <tableColumn id="7" xr3:uid="{00000000-0010-0000-0800-000007000000}" name="Accepted"/>
    <tableColumn id="8" xr3:uid="{00000000-0010-0000-0800-000008000000}" name="Open comments / Action / N/A approval"/>
    <tableColumn id="9" xr3:uid="{00000000-0010-0000-0800-000009000000}" name="Owner"/>
    <tableColumn id="10" xr3:uid="{00000000-0010-0000-0800-00000A000000}" name="Due date"/>
    <tableColumn id="11" xr3:uid="{00000000-0010-0000-0800-00000B000000}" name="Accepted / Expected"/>
    <tableColumn id="12" xr3:uid="{00000000-0010-0000-0800-00000C000000}" name="Coun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adinessChecklist" displayName="ReadinessChecklist" ref="A12:G34" totalsRowShown="0">
  <autoFilter ref="A12:G34" xr:uid="{00000000-0009-0000-0100-00000A000000}"/>
  <tableColumns count="7">
    <tableColumn id="1" xr3:uid="{00000000-0010-0000-0900-000001000000}" name="No."/>
    <tableColumn id="2" xr3:uid="{00000000-0010-0000-0900-000002000000}" name="Readiness criterion"/>
    <tableColumn id="3" xr3:uid="{00000000-0010-0000-0900-000003000000}" name="Yes / No / N/A"/>
    <tableColumn id="4" xr3:uid="{00000000-0010-0000-0900-000004000000}" name="Evidence / Reference"/>
    <tableColumn id="5" xr3:uid="{00000000-0010-0000-0900-000005000000}" name="Outstanding action / Conditions"/>
    <tableColumn id="6" xr3:uid="{00000000-0010-0000-0900-000006000000}" name="Responsible party"/>
    <tableColumn id="7" xr3:uid="{00000000-0010-0000-0900-000007000000}" name="Due date / Milest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ackageStatusCodes" displayName="PackageStatusCodes" ref="A12:E46" totalsRowShown="0">
  <autoFilter ref="A12:E46" xr:uid="{00000000-0009-0000-0100-00000B000000}"/>
  <tableColumns count="5">
    <tableColumn id="1" xr3:uid="{00000000-0010-0000-0A00-000001000000}" name="Generic code"/>
    <tableColumn id="2" xr3:uid="{00000000-0010-0000-0A00-000002000000}" name="Generic status"/>
    <tableColumn id="3" xr3:uid="{00000000-0010-0000-0A00-000003000000}" name="Generic meaning"/>
    <tableColumn id="4" xr3:uid="{00000000-0010-0000-0A00-000004000000}" name="Project code"/>
    <tableColumn id="5" xr3:uid="{00000000-0010-0000-0A00-000005000000}" name="Project statu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ResponsibilityMatrix" displayName="ResponsibilityMatrix" ref="A12:L22" totalsRowShown="0">
  <autoFilter ref="A12:L22" xr:uid="{00000000-0009-0000-0100-00000C000000}"/>
  <tableColumns count="12">
    <tableColumn id="1" xr3:uid="{00000000-0010-0000-0B00-000001000000}" name="Activity"/>
    <tableColumn id="2" xr3:uid="{00000000-0010-0000-0B00-000002000000}" name="Package owner"/>
    <tableColumn id="3" xr3:uid="{00000000-0010-0000-0B00-000003000000}" name="FQD coordinator"/>
    <tableColumn id="4" xr3:uid="{00000000-0010-0000-0B00-000004000000}" name="QA/QC"/>
    <tableColumn id="5" xr3:uid="{00000000-0010-0000-0B00-000005000000}" name="Construction"/>
    <tableColumn id="6" xr3:uid="{00000000-0010-0000-0B00-000006000000}" name="Commissioning"/>
    <tableColumn id="7" xr3:uid="{00000000-0010-0000-0B00-000007000000}" name="Document control"/>
    <tableColumn id="8" xr3:uid="{00000000-0010-0000-0B00-000008000000}" name="Contractor PM"/>
    <tableColumn id="9" xr3:uid="{00000000-0010-0000-0B00-000009000000}" name="Client / Owner"/>
    <tableColumn id="10" xr3:uid="{00000000-0010-0000-0B00-00000A000000}" name="A count"/>
    <tableColumn id="11" xr3:uid="{00000000-0010-0000-0B00-00000B000000}" name="R count"/>
    <tableColumn id="12" xr3:uid="{00000000-0010-0000-0B00-00000C000000}" name="Assignmen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PQD-FH Blue">
      <a:dk1>
        <a:srgbClr val="20374B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5B9BD5"/>
      </a:accent2>
      <a:accent3>
        <a:srgbClr val="9DC3E6"/>
      </a:accent3>
      <a:accent4>
        <a:srgbClr val="BDD7EE"/>
      </a:accent4>
      <a:accent5>
        <a:srgbClr val="DDEBF7"/>
      </a:accent5>
      <a:accent6>
        <a:srgbClr val="A9D18E"/>
      </a:accent6>
      <a:hlink>
        <a:srgbClr val="0563C1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QD-FH Blu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GitHub" Type="http://schemas.openxmlformats.org/officeDocument/2006/relationships/hyperlink" Target="https://github.com/arkadiuszwojcik-tech/PQD-FH" TargetMode="External" /><ns0:Relationship Id="rIdLicense" Type="http://schemas.openxmlformats.org/officeDocument/2006/relationships/hyperlink" Target="https://creativecommons.org/licenses/by-sa/4.0/" TargetMode="External" /></ns0: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000-000000000000}">
  <sheetPr>
    <tabColor rgb="FF1F4E78"/>
    <pageSetUpPr fitToPage="1"/>
  </sheetPr>
  <dimension ref="A1:F57"/>
  <sheetViews>
    <sheetView showGridLines="0" workbookViewId="0">
      <selection activeCell="E8" sqref="E8"/>
    </sheetView>
  </sheetViews>
  <sheetFormatPr defaultRowHeight="14.25"/>
  <cols>
    <col min="1" max="1" width="34" customWidth="1"/>
    <col min="2" max="2" width="53" customWidth="1"/>
    <col min="3" max="3" width="3" customWidth="1"/>
    <col min="4" max="4" width="32" customWidth="1"/>
    <col min="5" max="5" width="49" customWidth="1"/>
    <col min="6" max="6" width="5" customWidth="1"/>
  </cols>
  <sheetData>
    <row r="1" spans="1:6" ht="24.95" customHeight="1">
      <c r="A1" s="1"/>
      <c r="B1" s="1"/>
      <c r="C1" s="1"/>
      <c r="D1" s="1"/>
      <c r="E1" s="1"/>
      <c r="F1" s="1"/>
    </row>
    <row r="2" spans="1:6" ht="32.1" customHeight="1">
      <c r="A2" s="23" t="s">
        <v>0</v>
      </c>
      <c r="B2" s="23"/>
      <c r="C2" s="23"/>
      <c r="D2" s="23"/>
      <c r="E2" s="23"/>
      <c r="F2" s="1"/>
    </row>
    <row r="3" spans="1:6" ht="24" customHeight="1">
      <c r="A3" s="24" t="s">
        <v>1</v>
      </c>
      <c r="B3" s="24"/>
      <c r="C3" s="24"/>
      <c r="D3" s="24"/>
      <c r="E3" s="24"/>
      <c r="F3" s="1"/>
    </row>
    <row r="4" spans="1:6" ht="24.95" customHeight="1">
      <c r="A4" s="1"/>
      <c r="B4" s="1"/>
      <c r="C4" s="1"/>
      <c r="D4" s="1"/>
      <c r="E4" s="1"/>
      <c r="F4" s="1"/>
    </row>
    <row r="5" spans="1:6" ht="24.95" customHeight="1">
      <c r="A5" s="2" t="s">
        <v>2</v>
      </c>
      <c r="B5" s="2" t="s">
        <v>3</v>
      </c>
      <c r="C5" s="1"/>
      <c r="D5" s="2" t="s">
        <v>4</v>
      </c>
      <c r="E5" s="2" t="s">
        <v>5</v>
      </c>
      <c r="F5" s="1"/>
    </row>
    <row r="6" spans="1:6" ht="24.95" customHeight="1">
      <c r="A6" s="1" t="s">
        <v>6</v>
      </c>
      <c r="B6" s="4"/>
      <c r="C6" s="1"/>
      <c r="D6" s="1" t="s">
        <v>7</v>
      </c>
      <c r="E6" s="6" t="s">
        <v>8</v>
      </c>
      <c r="F6" s="1"/>
    </row>
    <row r="7" spans="1:6" ht="24.95" customHeight="1">
      <c r="A7" s="1" t="s">
        <v>9</v>
      </c>
      <c r="B7" s="4"/>
      <c r="C7" s="1"/>
      <c r="D7" s="1" t="s">
        <v>10</v>
      </c>
      <c r="E7" s="6" t="s">
        <v>8</v>
      </c>
      <c r="F7" s="1"/>
    </row>
    <row r="8" spans="1:6" ht="24.95" customHeight="1">
      <c r="A8" s="1" t="s">
        <v>11</v>
      </c>
      <c r="B8" s="4"/>
      <c r="C8" s="1"/>
      <c r="D8" s="1" t="str">
        <v>Release date</v>
      </c>
      <c r="E8" s="7" t="d">
        <v>2026-10-13T00:00:00.000Z</v>
      </c>
      <c r="F8" s="1"/>
    </row>
    <row r="9" spans="1:6" ht="24.95" customHeight="1">
      <c r="A9" s="1" t="s">
        <v>13</v>
      </c>
      <c r="B9" s="4"/>
      <c r="C9" s="1"/>
      <c r="D9" s="1" t="s">
        <v>14</v>
      </c>
      <c r="E9" s="1" t="s">
        <v>15</v>
      </c>
      <c r="F9" s="1"/>
    </row>
    <row r="10" spans="1:6" ht="24.95" customHeight="1">
      <c r="A10" s="1" t="s">
        <v>16</v>
      </c>
      <c r="B10" s="4"/>
      <c r="C10" s="1"/>
      <c r="D10" s="1" t="s">
        <v>17</v>
      </c>
      <c r="E10" s="1" t="s">
        <v>18</v>
      </c>
      <c r="F10" s="1"/>
    </row>
    <row r="11" spans="1:6" ht="24.95" customHeight="1">
      <c r="A11" s="1" t="s">
        <v>19</v>
      </c>
      <c r="B11" s="4"/>
      <c r="C11" s="1"/>
      <c r="D11" s="1"/>
      <c r="E11" s="1"/>
      <c r="F11" s="1"/>
    </row>
    <row r="12" spans="1:6" ht="24.95" customHeight="1">
      <c r="A12" s="1" t="s">
        <v>20</v>
      </c>
      <c r="B12" s="4"/>
      <c r="C12" s="1"/>
      <c r="D12" s="8" t="s">
        <v>21</v>
      </c>
      <c r="E12" s="8"/>
      <c r="F12" s="1"/>
    </row>
    <row r="13" spans="1:6" ht="24.95" customHeight="1">
      <c r="A13" s="1" t="s">
        <v>22</v>
      </c>
      <c r="B13" s="4" t="s">
        <v>23</v>
      </c>
      <c r="C13" s="1"/>
      <c r="D13" s="25" t="s">
        <v>24</v>
      </c>
      <c r="E13" s="25"/>
      <c r="F13" s="1"/>
    </row>
    <row r="14" spans="1:6" ht="24.95" customHeight="1">
      <c r="A14" s="1" t="s">
        <v>25</v>
      </c>
      <c r="B14" s="4"/>
      <c r="C14" s="1"/>
      <c r="D14" s="25"/>
      <c r="E14" s="25"/>
      <c r="F14" s="1"/>
    </row>
    <row r="15" spans="1:6" ht="24.95" customHeight="1">
      <c r="A15" s="1" t="s">
        <v>26</v>
      </c>
      <c r="B15" s="4"/>
      <c r="C15" s="1"/>
      <c r="D15" s="25" t="s">
        <v>27</v>
      </c>
      <c r="E15" s="25"/>
      <c r="F15" s="1"/>
    </row>
    <row r="16" spans="1:6" ht="24.95" customHeight="1">
      <c r="A16" s="1" t="s">
        <v>28</v>
      </c>
      <c r="B16" s="4"/>
      <c r="C16" s="1"/>
      <c r="D16" s="25"/>
      <c r="E16" s="25"/>
      <c r="F16" s="1"/>
    </row>
    <row r="17" spans="1:6" ht="24.95" customHeight="1">
      <c r="A17" s="1" t="s">
        <v>29</v>
      </c>
      <c r="B17" s="5"/>
      <c r="C17" s="1"/>
      <c r="D17" s="25" t="s">
        <v>30</v>
      </c>
      <c r="E17" s="25"/>
      <c r="F17" s="1"/>
    </row>
    <row r="18" spans="1:6" ht="24.95" customHeight="1">
      <c r="A18" s="1" t="s">
        <v>31</v>
      </c>
      <c r="B18" s="5"/>
      <c r="C18" s="1"/>
      <c r="D18" s="25"/>
      <c r="E18" s="25"/>
      <c r="F18" s="1"/>
    </row>
    <row r="19" spans="1:6" ht="30" customHeight="1">
      <c r="A19" s="1" t="s">
        <v>32</v>
      </c>
      <c r="B19" s="4" t="s">
        <v>33</v>
      </c>
      <c r="C19" s="1"/>
      <c r="D19" s="25" t="str">
        <v>4. D1, F and G apply to the package selected in B10. Duplicate for another package or review. Archive an approved workbook version or fixed PDF; copied sheets retain live project metadata links.</v>
      </c>
      <c r="E19" s="25"/>
      <c r="F19" s="1"/>
    </row>
    <row r="20" spans="1:6" ht="30" customHeight="1">
      <c r="A20" s="1" t="s">
        <v>35</v>
      </c>
      <c r="B20" s="4"/>
      <c r="C20" s="1"/>
      <c r="D20" s="25"/>
      <c r="E20" s="25"/>
      <c r="F20" s="1"/>
    </row>
    <row r="21" spans="1:6" ht="24.95" customHeight="1">
      <c r="A21" s="1"/>
      <c r="B21" s="1"/>
      <c r="C21" s="1"/>
      <c r="D21" s="25" t="s">
        <v>36</v>
      </c>
      <c r="E21" s="25"/>
      <c r="F21" s="1"/>
    </row>
    <row r="22" spans="1:6" ht="24.95" customHeight="1">
      <c r="A22" s="1"/>
      <c r="B22" s="1"/>
      <c r="C22" s="1"/>
      <c r="D22" s="25"/>
      <c r="E22" s="25"/>
      <c r="F22" s="1"/>
    </row>
    <row r="23" spans="1:6" ht="24.95" customHeight="1">
      <c r="A23" s="2" t="s">
        <v>37</v>
      </c>
      <c r="B23" s="2" t="s">
        <v>38</v>
      </c>
      <c r="C23" s="1"/>
      <c r="D23" s="25" t="s">
        <v>39</v>
      </c>
      <c r="E23" s="25"/>
      <c r="F23" s="1"/>
    </row>
    <row r="24" spans="1:6" ht="24.95" customHeight="1">
      <c r="A24" s="10" t="inlineStr">
        <is>
          <t>A_Requirements</t>
        </is>
      </c>
      <c r="B24" s="1" t="s">
        <v>41</v>
      </c>
      <c r="C24" s="1"/>
      <c r="D24" s="25"/>
      <c r="E24" s="25"/>
      <c r="F24" s="1"/>
    </row>
    <row r="25" spans="1:6" ht="24.95" customHeight="1">
      <c r="A25" s="10" t="inlineStr">
        <is>
          <t>B_Packages</t>
        </is>
      </c>
      <c r="B25" s="1" t="s">
        <v>41</v>
      </c>
      <c r="C25" s="1"/>
      <c r="D25" s="25" t="s">
        <v>43</v>
      </c>
      <c r="E25" s="25"/>
      <c r="F25" s="1"/>
    </row>
    <row r="26" spans="1:6" ht="24.95" customHeight="1">
      <c r="A26" s="10" t="inlineStr">
        <is>
          <t>C_Deliverables</t>
        </is>
      </c>
      <c r="B26" s="1" t="s">
        <v>41</v>
      </c>
      <c r="C26" s="1"/>
      <c r="D26" s="25"/>
      <c r="E26" s="25"/>
      <c r="F26" s="1"/>
    </row>
    <row r="27" spans="1:6" ht="24.95" customHeight="1">
      <c r="A27" s="10" t="inlineStr">
        <is>
          <t>D1_Package_Index</t>
        </is>
      </c>
      <c r="B27" s="1" t="s">
        <v>41</v>
      </c>
      <c r="C27" s="1"/>
      <c r="D27" s="25" t="s">
        <v>46</v>
      </c>
      <c r="E27" s="25"/>
      <c r="F27" s="1"/>
    </row>
    <row r="28" spans="1:6" ht="24.95" customHeight="1">
      <c r="A28" s="10" t="inlineStr">
        <is>
          <t>D2_Documents</t>
        </is>
      </c>
      <c r="B28" s="1" t="s">
        <v>41</v>
      </c>
      <c r="C28" s="1"/>
      <c r="D28" s="25"/>
      <c r="E28" s="25"/>
      <c r="F28" s="1"/>
    </row>
    <row r="29" spans="1:6" ht="24.95" customHeight="1">
      <c r="A29" s="10" t="inlineStr">
        <is>
          <t>D3_Metadata</t>
        </is>
      </c>
      <c r="B29" s="1" t="s">
        <v>41</v>
      </c>
      <c r="C29" s="1"/>
      <c r="D29" s="1"/>
      <c r="E29" s="1"/>
      <c r="F29" s="1"/>
    </row>
    <row r="30" spans="1:6" ht="24.95" customHeight="1">
      <c r="A30" s="10" t="inlineStr">
        <is>
          <t>D4_Classification</t>
        </is>
      </c>
      <c r="B30" s="1" t="s">
        <v>41</v>
      </c>
      <c r="C30" s="1"/>
      <c r="D30" s="1"/>
      <c r="E30" s="1"/>
      <c r="F30" s="1"/>
    </row>
    <row r="31" spans="1:6" ht="24.95" customHeight="1">
      <c r="A31" s="10" t="inlineStr">
        <is>
          <t>E_Traceability</t>
        </is>
      </c>
      <c r="B31" s="1" t="s">
        <v>41</v>
      </c>
      <c r="C31" s="1"/>
      <c r="D31" s="1"/>
      <c r="E31" s="1"/>
      <c r="F31" s="1"/>
    </row>
    <row r="32" spans="1:6" ht="24.95" customHeight="1">
      <c r="A32" s="10" t="inlineStr">
        <is>
          <t>F_Completion</t>
        </is>
      </c>
      <c r="B32" s="1" t="s">
        <v>52</v>
      </c>
      <c r="C32" s="1"/>
      <c r="D32" s="1"/>
      <c r="E32" s="1"/>
      <c r="F32" s="1"/>
    </row>
    <row r="33" spans="1:6" ht="24.95" customHeight="1">
      <c r="A33" s="10" t="inlineStr">
        <is>
          <t>G_Readiness</t>
        </is>
      </c>
      <c r="B33" s="1" t="s">
        <v>54</v>
      </c>
      <c r="C33" s="1"/>
      <c r="D33" s="1"/>
      <c r="E33" s="1"/>
      <c r="F33" s="1"/>
    </row>
    <row r="34" spans="1:6" ht="24.95" customHeight="1">
      <c r="A34" s="10" t="inlineStr">
        <is>
          <t>H_Status_Codes</t>
        </is>
      </c>
      <c r="B34" s="1" t="s">
        <v>41</v>
      </c>
      <c r="C34" s="1"/>
      <c r="D34" s="1"/>
      <c r="E34" s="1"/>
      <c r="F34" s="1"/>
    </row>
    <row r="35" spans="1:6" ht="24.95" customHeight="1">
      <c r="A35" s="10" t="inlineStr">
        <is>
          <t>I_Responsibilities</t>
        </is>
      </c>
      <c r="B35" s="1" t="s">
        <v>57</v>
      </c>
      <c r="C35" s="1"/>
      <c r="D35" s="1"/>
      <c r="E35" s="1"/>
      <c r="F35" s="1"/>
    </row>
    <row r="36" spans="1:6" ht="24.95" customHeight="1">
      <c r="A36" s="10" t="inlineStr">
        <is>
          <t>Lists</t>
        </is>
      </c>
      <c r="B36" s="1" t="s">
        <v>59</v>
      </c>
      <c r="C36" s="1"/>
      <c r="D36" s="1"/>
      <c r="E36" s="1"/>
      <c r="F36" s="1"/>
    </row>
    <row r="37" spans="1:6" ht="24.95" customHeight="1">
      <c r="A37" s="1"/>
      <c r="B37" s="1"/>
      <c r="C37" s="1"/>
      <c r="D37" s="1"/>
      <c r="E37" s="1"/>
      <c r="F37" s="1"/>
    </row>
    <row r="38" spans="1:6" ht="24.95" customHeight="1">
      <c r="A38" s="1"/>
      <c r="B38" s="1"/>
      <c r="C38" s="1"/>
      <c r="D38" s="1"/>
      <c r="E38" s="1"/>
      <c r="F38" s="1"/>
    </row>
    <row r="39" spans="1:6" ht="24.95" customHeight="1">
      <c r="A39" s="25" t="str">
        <v>Source: PQD-FH 01 Universal FQD Procedure, Rev. 1.00, Appendices A-I.</v>
      </c>
      <c r="B39" s="25"/>
      <c r="C39" s="25"/>
      <c r="D39" s="25"/>
      <c r="E39" s="25"/>
      <c r="F39" s="1"/>
    </row>
    <row r="40" spans="1:6" ht="24.95" customHeight="1">
      <c r="A40" s="25" t="s">
        <v>61</v>
      </c>
      <c r="B40" s="25"/>
      <c r="C40" s="25"/>
      <c r="D40" s="25"/>
      <c r="E40" s="25"/>
      <c r="F40" s="1"/>
    </row>
    <row r="41" spans="1:6" ht="24.95" customHeight="1">
      <c r="A41" s="25" t="s">
        <v>62</v>
      </c>
      <c r="B41" s="25"/>
      <c r="C41" s="25"/>
      <c r="D41" s="25"/>
      <c r="E41" s="25"/>
      <c r="F41" s="1"/>
    </row>
    <row r="42" spans="1:6" ht="24.95" customHeight="1">
      <c r="A42" s="25"/>
      <c r="B42" s="25"/>
      <c r="C42" s="25"/>
      <c r="D42" s="25"/>
      <c r="E42" s="25"/>
      <c r="F42" s="1"/>
    </row>
    <row r="43" spans="1:6" ht="24.95" customHeight="1">
      <c r="A43" s="1"/>
      <c r="B43" s="1"/>
      <c r="C43" s="1"/>
      <c r="D43" s="1"/>
      <c r="E43" s="1"/>
      <c r="F43" s="1"/>
    </row>
    <row r="44" spans="1:6" ht="24.95" customHeight="1">
      <c r="A44" s="26" t="str">
        <v>GitHub repository: arkadiuszwojcik-tech/PQD-FH</v>
      </c>
      <c r="B44" s="26"/>
      <c r="C44" s="26"/>
      <c r="D44" s="26"/>
      <c r="E44" s="26"/>
      <c r="F44" s="1"/>
    </row>
    <row r="45" spans="1:6" ht="24.95" customHeight="1">
      <c r="A45" s="26" t="str">
        <v>License: CC BY-SA 4.0</v>
      </c>
      <c r="B45" s="26"/>
      <c r="C45" s="26"/>
      <c r="D45" s="26"/>
      <c r="E45" s="26"/>
      <c r="F45" s="1"/>
    </row>
    <row r="46" spans="1:6" ht="24.95" customHeight="1">
      <c r="A46" s="1"/>
      <c r="B46" s="1"/>
      <c r="C46" s="1"/>
      <c r="D46" s="1"/>
      <c r="E46" s="1"/>
      <c r="F46" s="1"/>
    </row>
    <row r="47" spans="1:6" ht="24.95" customHeight="1">
      <c r="A47" s="1"/>
      <c r="B47" s="1"/>
      <c r="C47" s="1"/>
      <c r="D47" s="1"/>
      <c r="E47" s="1"/>
      <c r="F47" s="1"/>
    </row>
    <row r="48" spans="1:6" ht="24.95" customHeight="1">
      <c r="A48" s="1"/>
      <c r="B48" s="1"/>
      <c r="C48" s="1"/>
      <c r="D48" s="1"/>
      <c r="E48" s="1"/>
      <c r="F48" s="1"/>
    </row>
    <row r="49" spans="1:6" ht="24.95" customHeight="1">
      <c r="A49" s="1"/>
      <c r="B49" s="1"/>
      <c r="C49" s="1"/>
      <c r="D49" s="1"/>
      <c r="E49" s="1"/>
      <c r="F49" s="1"/>
    </row>
    <row r="50" spans="1:6" ht="24.95" customHeight="1">
      <c r="A50" s="1"/>
      <c r="B50" s="1"/>
      <c r="C50" s="1"/>
      <c r="D50" s="1"/>
      <c r="E50" s="1"/>
      <c r="F50" s="1"/>
    </row>
    <row r="51" spans="1:6" ht="24.95" customHeight="1">
      <c r="A51" s="1"/>
      <c r="B51" s="1"/>
      <c r="C51" s="1"/>
      <c r="D51" s="1"/>
      <c r="E51" s="1"/>
      <c r="F51" s="1"/>
    </row>
    <row r="52" spans="1:6" ht="24.95" customHeight="1">
      <c r="A52" s="1"/>
      <c r="B52" s="1"/>
      <c r="C52" s="1"/>
      <c r="D52" s="1"/>
      <c r="E52" s="1"/>
      <c r="F52" s="1"/>
    </row>
    <row r="53" spans="1:6" ht="24.95" customHeight="1">
      <c r="A53" s="1"/>
      <c r="B53" s="1"/>
      <c r="C53" s="1"/>
      <c r="D53" s="1"/>
      <c r="E53" s="1"/>
      <c r="F53" s="1"/>
    </row>
    <row r="54" spans="1:6" ht="24.95" customHeight="1">
      <c r="A54" s="1"/>
      <c r="B54" s="1"/>
      <c r="C54" s="1"/>
      <c r="D54" s="1"/>
      <c r="E54" s="1"/>
      <c r="F54" s="1"/>
    </row>
    <row r="55" spans="1:6" ht="24.95" customHeight="1">
      <c r="A55" s="1"/>
      <c r="B55" s="1"/>
      <c r="C55" s="1"/>
      <c r="D55" s="1"/>
      <c r="E55" s="1"/>
      <c r="F55" s="1"/>
    </row>
    <row r="56" spans="1:6" ht="24.95" customHeight="1">
      <c r="A56" s="1"/>
      <c r="B56" s="1"/>
      <c r="C56" s="1"/>
      <c r="D56" s="1"/>
      <c r="E56" s="1"/>
      <c r="F56" s="1"/>
    </row>
    <row r="57" spans="1:6" ht="24.95" customHeight="1">
      <c r="A57" s="1"/>
      <c r="B57" s="1"/>
      <c r="C57" s="1"/>
      <c r="D57" s="1"/>
      <c r="E57" s="1"/>
      <c r="F57" s="1"/>
    </row>
  </sheetData>
  <mergeCells count="15">
    <mergeCell ref="A39:E39"/>
    <mergeCell ref="A40:E40"/>
    <mergeCell ref="A41:E42"/>
    <mergeCell ref="A44:E44"/>
    <mergeCell ref="A45:E45"/>
    <mergeCell ref="D19:E20"/>
    <mergeCell ref="D21:E22"/>
    <mergeCell ref="D23:E24"/>
    <mergeCell ref="D25:E26"/>
    <mergeCell ref="D27:E28"/>
    <mergeCell ref="A2:E2"/>
    <mergeCell ref="A3:E3"/>
    <mergeCell ref="D13:E14"/>
    <mergeCell ref="D15:E16"/>
    <mergeCell ref="D17:E18"/>
  </mergeCells>
  <dataValidations count="1">
    <dataValidation type="list" allowBlank="1" showErrorMessage="1" errorTitle="Select a listed value" error="Use the dropdown. Project lists can be adapted in Lists or H_Status_Codes." sqref="B13" ns2:uid="{00000000-0002-0000-0000-000000000000}">
      <formula1>DocumentStatuses</formula1>
    </dataValidation>
  </dataValidations>
  <hyperlinks>
    <hyperlink ref="A24" location="'A_Requirements'!A1" display="A_Requirements"/>
    <hyperlink ref="A25" location="'B_Packages'!A1" display="B_Packages"/>
    <hyperlink ref="A26" location="'C_Deliverables'!A1" display="C_Deliverables"/>
    <hyperlink ref="A27" location="'D1_Package_Index'!A1" display="D1_Package_Index"/>
    <hyperlink ref="A28" location="'D2_Documents'!A1" display="D2_Documents"/>
    <hyperlink ref="A29" location="'D3_Metadata'!A1" display="D3_Metadata"/>
    <hyperlink ref="A30" location="'D4_Classification'!A1" display="D4_Classification"/>
    <hyperlink ref="A31" location="'E_Traceability'!A1" display="E_Traceability"/>
    <hyperlink ref="A32" location="'F_Completion'!A1" display="F_Completion"/>
    <hyperlink ref="A33" location="'G_Readiness'!A1" display="G_Readiness"/>
    <hyperlink ref="A34" location="'H_Status_Codes'!A1" display="H_Status_Codes"/>
    <hyperlink ref="A35" location="'I_Responsibilities'!A1" display="I_Responsibilities"/>
    <hyperlink ref="A36" location="'Lists'!A1" display="Lists"/>
    <hyperlink ref="A44" r:id="rIdGitHub"/>
    <hyperlink ref="A45" r:id="rIdLicense"/>
  </hyperlink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100-000000000000}">
  <sheetPr>
    <tabColor rgb="FF2B6E9F"/>
    <pageSetUpPr fitToPage="1"/>
  </sheetPr>
  <dimension ref="A1:C50"/>
  <sheetViews>
    <sheetView showGridLines="0" workbookViewId="0">
      <pane ySplit="12" topLeftCell="A19" activePane="bottomLeft" state="frozen"/>
      <selection pane="bottomLeft"/>
    </sheetView>
  </sheetViews>
  <sheetFormatPr defaultRowHeight="14.25"/>
  <cols>
    <col min="1" max="1" width="53" customWidth="1"/>
    <col min="2" max="2" width="75" customWidth="1"/>
    <col min="3" max="3" width="44" customWidth="1"/>
  </cols>
  <sheetData>
    <row r="1" spans="1:3" ht="9.9499999999999993" customHeight="1">
      <c r="A1" s="1"/>
      <c r="B1" s="1"/>
      <c r="C1" s="1"/>
    </row>
    <row r="2" spans="1:3" ht="27.95" customHeight="1">
      <c r="A2" s="27" t="s">
        <v>65</v>
      </c>
      <c r="B2" s="27"/>
      <c r="C2" s="27"/>
    </row>
    <row r="3" spans="1:3" ht="20.100000000000001" customHeight="1">
      <c r="A3" s="28" t="s">
        <v>66</v>
      </c>
      <c r="B3" s="28"/>
      <c r="C3" s="28"/>
    </row>
    <row r="4" spans="1:3" ht="26.1" customHeight="1">
      <c r="A4" s="12" t="str">
        <f>"Project: "&amp;IF('00_Project'!$B$6="","",'00_Project'!$B$6)&amp;IF('00_Project'!$B$10="",""," / Site: "&amp;'00_Project'!$B$10)</f>
        <v xml:space="preserve">Project: </v>
      </c>
      <c r="B4" s="29" t="str">
        <f>"Project ID: "&amp;IF('00_Project'!$B$7="","",'00_Project'!$B$7)</f>
        <v xml:space="preserve">Project ID: </v>
      </c>
      <c r="C4" s="29"/>
    </row>
    <row r="5" spans="1:3" ht="26.1" customHeight="1">
      <c r="A5" s="12" t="str">
        <f>"Client / Owner: "&amp;IF('00_Project'!$B$8="","",'00_Project'!$B$8)</f>
        <v xml:space="preserve">Client / Owner: </v>
      </c>
      <c r="B5" s="29" t="str">
        <f>"Contractor: "&amp;IF('00_Project'!$B$9="","",'00_Project'!$B$9)</f>
        <v xml:space="preserve">Contractor: </v>
      </c>
      <c r="C5" s="29"/>
    </row>
    <row r="6" spans="1:3" ht="26.1" customHeight="1">
      <c r="A6" s="12" t="str">
        <f>"Project document ID: "&amp;IF('00_Project'!$B$11="","",'00_Project'!$B$11)</f>
        <v xml:space="preserve">Project document ID: </v>
      </c>
      <c r="B6" s="29" t="str">
        <f>"Project revision: "&amp;IF('00_Project'!$B$12="","",'00_Project'!$B$12)</f>
        <v xml:space="preserve">Project revision: </v>
      </c>
      <c r="C6" s="29"/>
    </row>
    <row r="7" spans="1:3" ht="24" customHeight="1">
      <c r="A7" s="11" t="str">
        <f>"Document status: "&amp;IF('00_Project'!$B$13="","",'00_Project'!$B$13)</f>
        <v>Document status: Draft</v>
      </c>
      <c r="B7" s="30" t="str">
        <f>"Issue date: "&amp;IF('00_Project'!$B$17="","",TEXT('00_Project'!$B$17,"dd-mmm-yyyy"))</f>
        <v xml:space="preserve">Issue date: </v>
      </c>
      <c r="C7" s="30"/>
    </row>
    <row r="8" spans="1:3" ht="44.1" customHeight="1">
      <c r="A8" s="25" t="s">
        <v>67</v>
      </c>
      <c r="B8" s="25"/>
      <c r="C8" s="25"/>
    </row>
    <row r="9" spans="1:3" ht="26.1" customHeight="1">
      <c r="A9" s="12" t="str">
        <f>"Prepared by: "&amp;IF('00_Project'!$B$14="","",'00_Project'!$B$14)</f>
        <v xml:space="preserve">Prepared by: </v>
      </c>
      <c r="B9" s="29" t="str">
        <f>"Reviewed by: "&amp;IF('00_Project'!$B$15="","",'00_Project'!$B$15)&amp;" / Approved by: "&amp;IF('00_Project'!$B$16="","",'00_Project'!$B$16)</f>
        <v xml:space="preserve">Reviewed by:  / Approved by: </v>
      </c>
      <c r="C9" s="29"/>
    </row>
    <row r="10" spans="1:3" ht="24" customHeight="1">
      <c r="A10" s="1"/>
      <c r="B10" s="1"/>
      <c r="C10" s="1"/>
    </row>
    <row r="11" spans="1:3" ht="9" customHeight="1">
      <c r="A11" s="1"/>
      <c r="B11" s="1"/>
      <c r="C11" s="1"/>
    </row>
    <row r="12" spans="1:3" ht="42" customHeight="1">
      <c r="A12" s="14" t="s">
        <v>68</v>
      </c>
      <c r="B12" s="14" t="s">
        <v>69</v>
      </c>
      <c r="C12" s="14" t="s">
        <v>70</v>
      </c>
    </row>
    <row r="13" spans="1:3" ht="42" customHeight="1">
      <c r="A13" s="9" t="s">
        <v>6</v>
      </c>
      <c r="B13" s="15" t="str">
        <f>IF('00_Project'!$B$6="","",'00_Project'!$B$6)</f>
        <v/>
      </c>
      <c r="C13" s="13"/>
    </row>
    <row r="14" spans="1:3" ht="42" customHeight="1">
      <c r="A14" s="9" t="s">
        <v>11</v>
      </c>
      <c r="B14" s="15" t="str">
        <f>IF('00_Project'!$B$8="","",'00_Project'!$B$8)</f>
        <v/>
      </c>
      <c r="C14" s="13"/>
    </row>
    <row r="15" spans="1:3" ht="42" customHeight="1">
      <c r="A15" s="9" t="s">
        <v>13</v>
      </c>
      <c r="B15" s="15" t="str">
        <f>IF('00_Project'!$B$9="","",'00_Project'!$B$9)</f>
        <v/>
      </c>
      <c r="C15" s="13"/>
    </row>
    <row r="16" spans="1:3" ht="42" customHeight="1">
      <c r="A16" s="9" t="s">
        <v>71</v>
      </c>
      <c r="B16" s="15" t="str">
        <f>IF('00_Project'!$B$20="","",'00_Project'!$B$20)</f>
        <v/>
      </c>
      <c r="C16" s="13"/>
    </row>
    <row r="17" spans="1:3" ht="42" customHeight="1">
      <c r="A17" s="9" t="s">
        <v>72</v>
      </c>
      <c r="B17" s="13"/>
      <c r="C17" s="13"/>
    </row>
    <row r="18" spans="1:3" ht="42" customHeight="1">
      <c r="A18" s="9" t="s">
        <v>73</v>
      </c>
      <c r="B18" s="13"/>
      <c r="C18" s="13"/>
    </row>
    <row r="19" spans="1:3" ht="42" customHeight="1">
      <c r="A19" s="9" t="s">
        <v>74</v>
      </c>
      <c r="B19" s="15" t="str">
        <f>IF('00_Project'!$B$19="","",'00_Project'!$B$19)</f>
        <v>English</v>
      </c>
      <c r="C19" s="13"/>
    </row>
    <row r="20" spans="1:3" ht="42" customHeight="1">
      <c r="A20" s="9" t="s">
        <v>75</v>
      </c>
      <c r="B20" s="13"/>
      <c r="C20" s="13"/>
    </row>
    <row r="21" spans="1:3" ht="42" customHeight="1">
      <c r="A21" s="9" t="s">
        <v>76</v>
      </c>
      <c r="B21" s="13"/>
      <c r="C21" s="13"/>
    </row>
    <row r="22" spans="1:3" ht="42" customHeight="1">
      <c r="A22" s="9" t="s">
        <v>77</v>
      </c>
      <c r="B22" s="13"/>
      <c r="C22" s="13"/>
    </row>
    <row r="23" spans="1:3" ht="42" customHeight="1">
      <c r="A23" s="9" t="s">
        <v>78</v>
      </c>
      <c r="B23" s="13"/>
      <c r="C23" s="13"/>
    </row>
    <row r="24" spans="1:3" ht="42" customHeight="1">
      <c r="A24" s="9" t="s">
        <v>79</v>
      </c>
      <c r="B24" s="13"/>
      <c r="C24" s="13"/>
    </row>
    <row r="25" spans="1:3" ht="42" customHeight="1">
      <c r="A25" s="9" t="s">
        <v>80</v>
      </c>
      <c r="B25" s="13"/>
      <c r="C25" s="13"/>
    </row>
    <row r="26" spans="1:3" ht="42" customHeight="1">
      <c r="A26" s="9" t="s">
        <v>81</v>
      </c>
      <c r="B26" s="13"/>
      <c r="C26" s="13"/>
    </row>
    <row r="27" spans="1:3" ht="42" customHeight="1">
      <c r="A27" s="9" t="s">
        <v>82</v>
      </c>
      <c r="B27" s="13"/>
      <c r="C27" s="13"/>
    </row>
    <row r="28" spans="1:3" ht="42" customHeight="1">
      <c r="A28" s="9" t="s">
        <v>83</v>
      </c>
      <c r="B28" s="13"/>
      <c r="C28" s="13"/>
    </row>
    <row r="29" spans="1:3" ht="42" customHeight="1">
      <c r="A29" s="9" t="s">
        <v>84</v>
      </c>
      <c r="B29" s="13"/>
      <c r="C29" s="13"/>
    </row>
    <row r="30" spans="1:3" ht="42" customHeight="1">
      <c r="A30" s="9" t="s">
        <v>85</v>
      </c>
      <c r="B30" s="13"/>
      <c r="C30" s="13"/>
    </row>
    <row r="31" spans="1:3" ht="42" customHeight="1">
      <c r="A31" s="9" t="s">
        <v>86</v>
      </c>
      <c r="B31" s="13"/>
      <c r="C31" s="13"/>
    </row>
    <row r="32" spans="1:3" ht="42" customHeight="1">
      <c r="A32" s="9" t="s">
        <v>87</v>
      </c>
      <c r="B32" s="13"/>
      <c r="C32" s="13"/>
    </row>
    <row r="33" spans="1:3" ht="42" customHeight="1">
      <c r="A33" s="9" t="s">
        <v>88</v>
      </c>
      <c r="B33" s="13"/>
      <c r="C33" s="13"/>
    </row>
    <row r="34" spans="1:3" ht="42" customHeight="1">
      <c r="A34" s="9" t="s">
        <v>89</v>
      </c>
      <c r="B34" s="13"/>
      <c r="C34" s="13"/>
    </row>
    <row r="35" spans="1:3" ht="42" customHeight="1">
      <c r="A35" s="9" t="s">
        <v>90</v>
      </c>
      <c r="B35" s="13"/>
      <c r="C35" s="13"/>
    </row>
    <row r="36" spans="1:3" ht="42" customHeight="1">
      <c r="A36" s="9" t="s">
        <v>91</v>
      </c>
      <c r="B36" s="13"/>
      <c r="C36" s="13"/>
    </row>
    <row r="37" spans="1:3" ht="42" customHeight="1">
      <c r="A37" s="9" t="s">
        <v>92</v>
      </c>
      <c r="B37" s="13"/>
      <c r="C37" s="13"/>
    </row>
    <row r="38" spans="1:3" ht="42" customHeight="1">
      <c r="A38" s="9" t="s">
        <v>93</v>
      </c>
      <c r="B38" s="13"/>
      <c r="C38" s="13"/>
    </row>
    <row r="39" spans="1:3" ht="42" customHeight="1">
      <c r="A39" s="9" t="s">
        <v>94</v>
      </c>
      <c r="B39" s="13"/>
      <c r="C39" s="13"/>
    </row>
    <row r="40" spans="1:3" ht="42" customHeight="1">
      <c r="A40" s="9" t="s">
        <v>95</v>
      </c>
      <c r="B40" s="13"/>
      <c r="C40" s="13"/>
    </row>
    <row r="41" spans="1:3" ht="42" customHeight="1">
      <c r="A41" s="9" t="s">
        <v>96</v>
      </c>
      <c r="B41" s="13"/>
      <c r="C41" s="13"/>
    </row>
    <row r="42" spans="1:3" ht="42" customHeight="1">
      <c r="A42" s="9" t="s">
        <v>97</v>
      </c>
      <c r="B42" s="13"/>
      <c r="C42" s="13"/>
    </row>
    <row r="43" spans="1:3" ht="42" customHeight="1">
      <c r="A43" s="9" t="s">
        <v>98</v>
      </c>
      <c r="B43" s="13"/>
      <c r="C43" s="13"/>
    </row>
    <row r="44" spans="1:3" ht="24" customHeight="1">
      <c r="A44" s="1"/>
      <c r="B44" s="1"/>
      <c r="C44" s="1"/>
    </row>
    <row r="45" spans="1:3" ht="24" customHeight="1">
      <c r="A45" s="1"/>
      <c r="B45" s="1"/>
      <c r="C45" s="1"/>
    </row>
    <row r="46" spans="1:3" ht="24" customHeight="1">
      <c r="A46" s="1"/>
      <c r="B46" s="1"/>
      <c r="C46" s="1"/>
    </row>
    <row r="47" spans="1:3" ht="24" customHeight="1">
      <c r="A47" s="1"/>
      <c r="B47" s="1"/>
      <c r="C47" s="1"/>
    </row>
    <row r="48" spans="1:3" ht="24" customHeight="1">
      <c r="A48" s="1"/>
      <c r="B48" s="1"/>
      <c r="C48" s="1"/>
    </row>
    <row r="49" spans="1:3" ht="24" customHeight="1">
      <c r="A49" s="1"/>
      <c r="B49" s="1"/>
      <c r="C49" s="1"/>
    </row>
    <row r="50" spans="1:3" ht="24" customHeight="1">
      <c r="A50" s="1"/>
      <c r="B50" s="1"/>
      <c r="C50" s="1"/>
    </row>
  </sheetData>
  <mergeCells count="8">
    <mergeCell ref="B7:C7"/>
    <mergeCell ref="A8:C8"/>
    <mergeCell ref="B9:C9"/>
    <mergeCell ref="A2:C2"/>
    <mergeCell ref="A3:C3"/>
    <mergeCell ref="B4:C4"/>
    <mergeCell ref="B5:C5"/>
    <mergeCell ref="B6:C6"/>
  </mergeCell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200-000000000000}">
  <sheetPr>
    <tabColor rgb="FF2B6E9F"/>
    <pageSetUpPr fitToPage="1"/>
  </sheetPr>
  <dimension ref="A1:I212"/>
  <sheetViews>
    <sheetView showGridLines="0" tabSelected="1" topLeftCell="D1" workbookViewId="0">
      <pane ySplit="12" topLeftCell="A13" activePane="bottomLeft" state="frozen"/>
      <selection pane="bottomLeft" activeCell="E9" sqref="E9:I9"/>
    </sheetView>
  </sheetViews>
  <sheetFormatPr defaultRowHeight="14.25"/>
  <cols>
    <col min="1" max="1" width="23" customWidth="1"/>
    <col min="2" max="2" width="24" customWidth="1"/>
    <col min="3" max="3" width="50" customWidth="1"/>
    <col min="4" max="5" width="28" customWidth="1"/>
    <col min="6" max="7" width="20" customWidth="1"/>
    <col min="8" max="8" width="29" customWidth="1"/>
    <col min="9" max="9" width="65" customWidth="1"/>
  </cols>
  <sheetData>
    <row r="1" spans="1:9" ht="9.9499999999999993" customHeight="1">
      <c r="A1" s="1"/>
      <c r="B1" s="1"/>
      <c r="C1" s="1"/>
      <c r="D1" s="1"/>
      <c r="E1" s="1"/>
      <c r="F1" s="1"/>
      <c r="G1" s="1"/>
      <c r="H1" s="1"/>
      <c r="I1" s="1"/>
    </row>
    <row r="2" spans="1:9" ht="27.95" customHeight="1">
      <c r="A2" s="27" t="s">
        <v>99</v>
      </c>
      <c r="B2" s="27"/>
      <c r="C2" s="27"/>
      <c r="D2" s="27"/>
      <c r="E2" s="27"/>
      <c r="F2" s="27"/>
      <c r="G2" s="27"/>
      <c r="H2" s="27"/>
      <c r="I2" s="27"/>
    </row>
    <row r="3" spans="1:9" ht="20.100000000000001" customHeight="1">
      <c r="A3" s="28" t="s">
        <v>66</v>
      </c>
      <c r="B3" s="28"/>
      <c r="C3" s="28"/>
      <c r="D3" s="28"/>
      <c r="E3" s="28"/>
      <c r="F3" s="28"/>
      <c r="G3" s="28"/>
      <c r="H3" s="28"/>
      <c r="I3" s="28"/>
    </row>
    <row r="4" spans="1:9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/>
      <c r="D4" s="29"/>
      <c r="E4" s="29" t="str">
        <f>"Project ID: "&amp;IF('00_Project'!$B$7="","",'00_Project'!$B$7)</f>
        <v xml:space="preserve">Project ID: </v>
      </c>
      <c r="F4" s="29"/>
      <c r="G4" s="29"/>
      <c r="H4" s="29"/>
      <c r="I4" s="29"/>
    </row>
    <row r="5" spans="1:9" ht="26.1" customHeight="1">
      <c r="A5" s="29" t="str">
        <f>"Client / Owner: "&amp;IF('00_Project'!$B$8="","",'00_Project'!$B$8)</f>
        <v xml:space="preserve">Client / Owner: </v>
      </c>
      <c r="B5" s="29"/>
      <c r="C5" s="29"/>
      <c r="D5" s="29"/>
      <c r="E5" s="29" t="str">
        <f>"Contractor: "&amp;IF('00_Project'!$B$9="","",'00_Project'!$B$9)</f>
        <v xml:space="preserve">Contractor: </v>
      </c>
      <c r="F5" s="29"/>
      <c r="G5" s="29"/>
      <c r="H5" s="29"/>
      <c r="I5" s="29"/>
    </row>
    <row r="6" spans="1:9" ht="26.1" customHeight="1">
      <c r="A6" s="29" t="str">
        <f>"Project document ID: "&amp;IF('00_Project'!$B$11="","",'00_Project'!$B$11)</f>
        <v xml:space="preserve">Project document ID: </v>
      </c>
      <c r="B6" s="29"/>
      <c r="C6" s="29"/>
      <c r="D6" s="29"/>
      <c r="E6" s="29" t="str">
        <f>"Project revision: "&amp;IF('00_Project'!$B$12="","",'00_Project'!$B$12)</f>
        <v xml:space="preserve">Project revision: </v>
      </c>
      <c r="F6" s="29"/>
      <c r="G6" s="29"/>
      <c r="H6" s="29"/>
      <c r="I6" s="29"/>
    </row>
    <row r="7" spans="1:9" ht="24" customHeight="1">
      <c r="A7" s="30" t="str">
        <f>"Document status: "&amp;IF('00_Project'!$B$13="","",'00_Project'!$B$13)</f>
        <v>Document status: Draft</v>
      </c>
      <c r="B7" s="30"/>
      <c r="C7" s="30"/>
      <c r="D7" s="30"/>
      <c r="E7" s="30" t="str">
        <f>"Issue date: "&amp;IF('00_Project'!$B$17="","",TEXT('00_Project'!$B$17,"dd-mmm-yyyy"))</f>
        <v xml:space="preserve">Issue date: </v>
      </c>
      <c r="F7" s="30"/>
      <c r="G7" s="30"/>
      <c r="H7" s="30"/>
      <c r="I7" s="30"/>
    </row>
    <row r="8" spans="1:9" ht="44.1" customHeight="1">
      <c r="A8" s="25" t="s">
        <v>100</v>
      </c>
      <c r="B8" s="25"/>
      <c r="C8" s="25"/>
      <c r="D8" s="25"/>
      <c r="E8" s="25"/>
      <c r="F8" s="25"/>
      <c r="G8" s="25"/>
      <c r="H8" s="25"/>
      <c r="I8" s="25"/>
    </row>
    <row r="9" spans="1:9" ht="26.1" customHeight="1">
      <c r="A9" s="29" t="str">
        <f>"Prepared by: "&amp;IF('00_Project'!$B$14="","",'00_Project'!$B$14)</f>
        <v xml:space="preserve">Prepared by: </v>
      </c>
      <c r="B9" s="29"/>
      <c r="C9" s="29"/>
      <c r="D9" s="29"/>
      <c r="E9" s="29" t="str">
        <f>"Reviewed by: "&amp;IF('00_Project'!$B$15="","",'00_Project'!$B$15)&amp;" / Approved by: "&amp;IF('00_Project'!$B$16="","",'00_Project'!$B$16)</f>
        <v xml:space="preserve">Reviewed by:  / Approved by: </v>
      </c>
      <c r="F9" s="29"/>
      <c r="G9" s="29"/>
      <c r="H9" s="29"/>
      <c r="I9" s="29"/>
    </row>
    <row r="10" spans="1:9" ht="24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9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42" customHeight="1">
      <c r="A12" s="14" t="s">
        <v>101</v>
      </c>
      <c r="B12" s="14" t="s">
        <v>102</v>
      </c>
      <c r="C12" s="14" t="s">
        <v>103</v>
      </c>
      <c r="D12" s="14" t="s">
        <v>104</v>
      </c>
      <c r="E12" s="14" t="s">
        <v>105</v>
      </c>
      <c r="F12" s="14" t="s">
        <v>106</v>
      </c>
      <c r="G12" s="14" t="s">
        <v>107</v>
      </c>
      <c r="H12" s="14" t="s">
        <v>108</v>
      </c>
      <c r="I12" s="14" t="s">
        <v>109</v>
      </c>
    </row>
    <row r="13" spans="1:9" ht="24" customHeight="1">
      <c r="A13" s="16"/>
      <c r="B13" s="16"/>
      <c r="C13" s="13"/>
      <c r="D13" s="13"/>
      <c r="E13" s="13"/>
      <c r="F13" s="17"/>
      <c r="G13" s="17"/>
      <c r="H13" s="13"/>
      <c r="I13" s="13"/>
    </row>
    <row r="14" spans="1:9" ht="24" customHeight="1">
      <c r="A14" s="16"/>
      <c r="B14" s="16"/>
      <c r="C14" s="13"/>
      <c r="D14" s="13"/>
      <c r="E14" s="13"/>
      <c r="F14" s="17"/>
      <c r="G14" s="17"/>
      <c r="H14" s="13"/>
      <c r="I14" s="13"/>
    </row>
    <row r="15" spans="1:9" ht="24" customHeight="1">
      <c r="A15" s="16"/>
      <c r="B15" s="16"/>
      <c r="C15" s="13"/>
      <c r="D15" s="13"/>
      <c r="E15" s="13"/>
      <c r="F15" s="17"/>
      <c r="G15" s="17"/>
      <c r="H15" s="13"/>
      <c r="I15" s="13"/>
    </row>
    <row r="16" spans="1:9" ht="24" customHeight="1">
      <c r="A16" s="16"/>
      <c r="B16" s="16"/>
      <c r="C16" s="13"/>
      <c r="D16" s="13"/>
      <c r="E16" s="13"/>
      <c r="F16" s="17"/>
      <c r="G16" s="17"/>
      <c r="H16" s="13"/>
      <c r="I16" s="13"/>
    </row>
    <row r="17" spans="1:9" ht="24" customHeight="1">
      <c r="A17" s="16"/>
      <c r="B17" s="16"/>
      <c r="C17" s="13"/>
      <c r="D17" s="13"/>
      <c r="E17" s="13"/>
      <c r="F17" s="17"/>
      <c r="G17" s="17"/>
      <c r="H17" s="13"/>
      <c r="I17" s="13"/>
    </row>
    <row r="18" spans="1:9" ht="24" customHeight="1">
      <c r="A18" s="16"/>
      <c r="B18" s="16"/>
      <c r="C18" s="13"/>
      <c r="D18" s="13"/>
      <c r="E18" s="13"/>
      <c r="F18" s="17"/>
      <c r="G18" s="17"/>
      <c r="H18" s="13"/>
      <c r="I18" s="13"/>
    </row>
    <row r="19" spans="1:9" ht="24" customHeight="1">
      <c r="A19" s="16"/>
      <c r="B19" s="16"/>
      <c r="C19" s="13"/>
      <c r="D19" s="13"/>
      <c r="E19" s="13"/>
      <c r="F19" s="17"/>
      <c r="G19" s="17"/>
      <c r="H19" s="13"/>
      <c r="I19" s="13"/>
    </row>
    <row r="20" spans="1:9" ht="24" customHeight="1">
      <c r="A20" s="16"/>
      <c r="B20" s="16"/>
      <c r="C20" s="13"/>
      <c r="D20" s="13"/>
      <c r="E20" s="13"/>
      <c r="F20" s="17"/>
      <c r="G20" s="17"/>
      <c r="H20" s="13"/>
      <c r="I20" s="13"/>
    </row>
    <row r="21" spans="1:9" ht="24" customHeight="1">
      <c r="A21" s="16"/>
      <c r="B21" s="16"/>
      <c r="C21" s="13"/>
      <c r="D21" s="13"/>
      <c r="E21" s="13"/>
      <c r="F21" s="17"/>
      <c r="G21" s="17"/>
      <c r="H21" s="13"/>
      <c r="I21" s="13"/>
    </row>
    <row r="22" spans="1:9" ht="24" customHeight="1">
      <c r="A22" s="16"/>
      <c r="B22" s="16"/>
      <c r="C22" s="13"/>
      <c r="D22" s="13"/>
      <c r="E22" s="13"/>
      <c r="F22" s="17"/>
      <c r="G22" s="17"/>
      <c r="H22" s="13"/>
      <c r="I22" s="13"/>
    </row>
    <row r="23" spans="1:9" ht="24" customHeight="1">
      <c r="A23" s="16"/>
      <c r="B23" s="16"/>
      <c r="C23" s="13"/>
      <c r="D23" s="13"/>
      <c r="E23" s="13"/>
      <c r="F23" s="17"/>
      <c r="G23" s="17"/>
      <c r="H23" s="13"/>
      <c r="I23" s="13"/>
    </row>
    <row r="24" spans="1:9" ht="24" customHeight="1">
      <c r="A24" s="16"/>
      <c r="B24" s="16"/>
      <c r="C24" s="13"/>
      <c r="D24" s="13"/>
      <c r="E24" s="13"/>
      <c r="F24" s="17"/>
      <c r="G24" s="17"/>
      <c r="H24" s="13"/>
      <c r="I24" s="13"/>
    </row>
    <row r="25" spans="1:9" ht="24" customHeight="1">
      <c r="A25" s="16"/>
      <c r="B25" s="16"/>
      <c r="C25" s="13"/>
      <c r="D25" s="13"/>
      <c r="E25" s="13"/>
      <c r="F25" s="17"/>
      <c r="G25" s="17"/>
      <c r="H25" s="13"/>
      <c r="I25" s="13"/>
    </row>
    <row r="26" spans="1:9" ht="24" customHeight="1">
      <c r="A26" s="16"/>
      <c r="B26" s="16"/>
      <c r="C26" s="13"/>
      <c r="D26" s="13"/>
      <c r="E26" s="13"/>
      <c r="F26" s="17"/>
      <c r="G26" s="17"/>
      <c r="H26" s="13"/>
      <c r="I26" s="13"/>
    </row>
    <row r="27" spans="1:9" ht="24" customHeight="1">
      <c r="A27" s="16"/>
      <c r="B27" s="16"/>
      <c r="C27" s="13"/>
      <c r="D27" s="13"/>
      <c r="E27" s="13"/>
      <c r="F27" s="17"/>
      <c r="G27" s="17"/>
      <c r="H27" s="13"/>
      <c r="I27" s="13"/>
    </row>
    <row r="28" spans="1:9" ht="24" customHeight="1">
      <c r="A28" s="16"/>
      <c r="B28" s="16"/>
      <c r="C28" s="13"/>
      <c r="D28" s="13"/>
      <c r="E28" s="13"/>
      <c r="F28" s="17"/>
      <c r="G28" s="17"/>
      <c r="H28" s="13"/>
      <c r="I28" s="13"/>
    </row>
    <row r="29" spans="1:9" ht="24" customHeight="1">
      <c r="A29" s="16"/>
      <c r="B29" s="16"/>
      <c r="C29" s="13"/>
      <c r="D29" s="13"/>
      <c r="E29" s="13"/>
      <c r="F29" s="17"/>
      <c r="G29" s="17"/>
      <c r="H29" s="13"/>
      <c r="I29" s="13"/>
    </row>
    <row r="30" spans="1:9" ht="24" customHeight="1">
      <c r="A30" s="16"/>
      <c r="B30" s="16"/>
      <c r="C30" s="13"/>
      <c r="D30" s="13"/>
      <c r="E30" s="13"/>
      <c r="F30" s="17"/>
      <c r="G30" s="17"/>
      <c r="H30" s="13"/>
      <c r="I30" s="13"/>
    </row>
    <row r="31" spans="1:9" ht="24" customHeight="1">
      <c r="A31" s="16"/>
      <c r="B31" s="16"/>
      <c r="C31" s="13"/>
      <c r="D31" s="13"/>
      <c r="E31" s="13"/>
      <c r="F31" s="17"/>
      <c r="G31" s="17"/>
      <c r="H31" s="13"/>
      <c r="I31" s="13"/>
    </row>
    <row r="32" spans="1:9" ht="24" customHeight="1">
      <c r="A32" s="16"/>
      <c r="B32" s="16"/>
      <c r="C32" s="13"/>
      <c r="D32" s="13"/>
      <c r="E32" s="13"/>
      <c r="F32" s="17"/>
      <c r="G32" s="17"/>
      <c r="H32" s="13"/>
      <c r="I32" s="13"/>
    </row>
    <row r="33" spans="1:9" ht="24" customHeight="1">
      <c r="A33" s="16"/>
      <c r="B33" s="16"/>
      <c r="C33" s="13"/>
      <c r="D33" s="13"/>
      <c r="E33" s="13"/>
      <c r="F33" s="17"/>
      <c r="G33" s="17"/>
      <c r="H33" s="13"/>
      <c r="I33" s="13"/>
    </row>
    <row r="34" spans="1:9" ht="24" customHeight="1">
      <c r="A34" s="16"/>
      <c r="B34" s="16"/>
      <c r="C34" s="13"/>
      <c r="D34" s="13"/>
      <c r="E34" s="13"/>
      <c r="F34" s="17"/>
      <c r="G34" s="17"/>
      <c r="H34" s="13"/>
      <c r="I34" s="13"/>
    </row>
    <row r="35" spans="1:9" ht="24" customHeight="1">
      <c r="A35" s="16"/>
      <c r="B35" s="16"/>
      <c r="C35" s="13"/>
      <c r="D35" s="13"/>
      <c r="E35" s="13"/>
      <c r="F35" s="17"/>
      <c r="G35" s="17"/>
      <c r="H35" s="13"/>
      <c r="I35" s="13"/>
    </row>
    <row r="36" spans="1:9" ht="24" customHeight="1">
      <c r="A36" s="16"/>
      <c r="B36" s="16"/>
      <c r="C36" s="13"/>
      <c r="D36" s="13"/>
      <c r="E36" s="13"/>
      <c r="F36" s="17"/>
      <c r="G36" s="17"/>
      <c r="H36" s="13"/>
      <c r="I36" s="13"/>
    </row>
    <row r="37" spans="1:9" ht="24" customHeight="1">
      <c r="A37" s="16"/>
      <c r="B37" s="16"/>
      <c r="C37" s="13"/>
      <c r="D37" s="13"/>
      <c r="E37" s="13"/>
      <c r="F37" s="17"/>
      <c r="G37" s="17"/>
      <c r="H37" s="13"/>
      <c r="I37" s="13"/>
    </row>
    <row r="38" spans="1:9" ht="24" customHeight="1">
      <c r="A38" s="16"/>
      <c r="B38" s="16"/>
      <c r="C38" s="13"/>
      <c r="D38" s="13"/>
      <c r="E38" s="13"/>
      <c r="F38" s="17"/>
      <c r="G38" s="17"/>
      <c r="H38" s="13"/>
      <c r="I38" s="13"/>
    </row>
    <row r="39" spans="1:9" ht="24" customHeight="1">
      <c r="A39" s="16"/>
      <c r="B39" s="16"/>
      <c r="C39" s="13"/>
      <c r="D39" s="13"/>
      <c r="E39" s="13"/>
      <c r="F39" s="17"/>
      <c r="G39" s="17"/>
      <c r="H39" s="13"/>
      <c r="I39" s="13"/>
    </row>
    <row r="40" spans="1:9" ht="24" customHeight="1">
      <c r="A40" s="16"/>
      <c r="B40" s="16"/>
      <c r="C40" s="13"/>
      <c r="D40" s="13"/>
      <c r="E40" s="13"/>
      <c r="F40" s="17"/>
      <c r="G40" s="17"/>
      <c r="H40" s="13"/>
      <c r="I40" s="13"/>
    </row>
    <row r="41" spans="1:9" ht="24" customHeight="1">
      <c r="A41" s="16"/>
      <c r="B41" s="16"/>
      <c r="C41" s="13"/>
      <c r="D41" s="13"/>
      <c r="E41" s="13"/>
      <c r="F41" s="17"/>
      <c r="G41" s="17"/>
      <c r="H41" s="13"/>
      <c r="I41" s="13"/>
    </row>
    <row r="42" spans="1:9" ht="24" customHeight="1">
      <c r="A42" s="16"/>
      <c r="B42" s="16"/>
      <c r="C42" s="13"/>
      <c r="D42" s="13"/>
      <c r="E42" s="13"/>
      <c r="F42" s="17"/>
      <c r="G42" s="17"/>
      <c r="H42" s="13"/>
      <c r="I42" s="13"/>
    </row>
    <row r="43" spans="1:9" ht="24" customHeight="1">
      <c r="A43" s="16"/>
      <c r="B43" s="16"/>
      <c r="C43" s="13"/>
      <c r="D43" s="13"/>
      <c r="E43" s="13"/>
      <c r="F43" s="17"/>
      <c r="G43" s="17"/>
      <c r="H43" s="13"/>
      <c r="I43" s="13"/>
    </row>
    <row r="44" spans="1:9" ht="24" customHeight="1">
      <c r="A44" s="16"/>
      <c r="B44" s="16"/>
      <c r="C44" s="13"/>
      <c r="D44" s="13"/>
      <c r="E44" s="13"/>
      <c r="F44" s="17"/>
      <c r="G44" s="17"/>
      <c r="H44" s="13"/>
      <c r="I44" s="13"/>
    </row>
    <row r="45" spans="1:9" ht="24" customHeight="1">
      <c r="A45" s="16"/>
      <c r="B45" s="16"/>
      <c r="C45" s="13"/>
      <c r="D45" s="13"/>
      <c r="E45" s="13"/>
      <c r="F45" s="17"/>
      <c r="G45" s="17"/>
      <c r="H45" s="13"/>
      <c r="I45" s="13"/>
    </row>
    <row r="46" spans="1:9" ht="24" customHeight="1">
      <c r="A46" s="16"/>
      <c r="B46" s="16"/>
      <c r="C46" s="13"/>
      <c r="D46" s="13"/>
      <c r="E46" s="13"/>
      <c r="F46" s="17"/>
      <c r="G46" s="17"/>
      <c r="H46" s="13"/>
      <c r="I46" s="13"/>
    </row>
    <row r="47" spans="1:9" ht="24" customHeight="1">
      <c r="A47" s="16"/>
      <c r="B47" s="16"/>
      <c r="C47" s="13"/>
      <c r="D47" s="13"/>
      <c r="E47" s="13"/>
      <c r="F47" s="17"/>
      <c r="G47" s="17"/>
      <c r="H47" s="13"/>
      <c r="I47" s="13"/>
    </row>
    <row r="48" spans="1:9" ht="24" customHeight="1">
      <c r="A48" s="16"/>
      <c r="B48" s="16"/>
      <c r="C48" s="13"/>
      <c r="D48" s="13"/>
      <c r="E48" s="13"/>
      <c r="F48" s="17"/>
      <c r="G48" s="17"/>
      <c r="H48" s="13"/>
      <c r="I48" s="13"/>
    </row>
    <row r="49" spans="1:9" ht="24" customHeight="1">
      <c r="A49" s="16"/>
      <c r="B49" s="16"/>
      <c r="C49" s="13"/>
      <c r="D49" s="13"/>
      <c r="E49" s="13"/>
      <c r="F49" s="17"/>
      <c r="G49" s="17"/>
      <c r="H49" s="13"/>
      <c r="I49" s="13"/>
    </row>
    <row r="50" spans="1:9" ht="24" customHeight="1">
      <c r="A50" s="16"/>
      <c r="B50" s="16"/>
      <c r="C50" s="13"/>
      <c r="D50" s="13"/>
      <c r="E50" s="13"/>
      <c r="F50" s="17"/>
      <c r="G50" s="17"/>
      <c r="H50" s="13"/>
      <c r="I50" s="13"/>
    </row>
    <row r="51" spans="1:9" ht="24" customHeight="1">
      <c r="A51" s="16"/>
      <c r="B51" s="16"/>
      <c r="C51" s="13"/>
      <c r="D51" s="13"/>
      <c r="E51" s="13"/>
      <c r="F51" s="17"/>
      <c r="G51" s="17"/>
      <c r="H51" s="13"/>
      <c r="I51" s="13"/>
    </row>
    <row r="52" spans="1:9" ht="24" customHeight="1">
      <c r="A52" s="16"/>
      <c r="B52" s="16"/>
      <c r="C52" s="13"/>
      <c r="D52" s="13"/>
      <c r="E52" s="13"/>
      <c r="F52" s="17"/>
      <c r="G52" s="17"/>
      <c r="H52" s="13"/>
      <c r="I52" s="13"/>
    </row>
    <row r="53" spans="1:9" ht="24" customHeight="1">
      <c r="A53" s="16"/>
      <c r="B53" s="16"/>
      <c r="C53" s="13"/>
      <c r="D53" s="13"/>
      <c r="E53" s="13"/>
      <c r="F53" s="17"/>
      <c r="G53" s="17"/>
      <c r="H53" s="13"/>
      <c r="I53" s="13"/>
    </row>
    <row r="54" spans="1:9" ht="24" customHeight="1">
      <c r="A54" s="16"/>
      <c r="B54" s="16"/>
      <c r="C54" s="13"/>
      <c r="D54" s="13"/>
      <c r="E54" s="13"/>
      <c r="F54" s="17"/>
      <c r="G54" s="17"/>
      <c r="H54" s="13"/>
      <c r="I54" s="13"/>
    </row>
    <row r="55" spans="1:9" ht="24" customHeight="1">
      <c r="A55" s="16"/>
      <c r="B55" s="16"/>
      <c r="C55" s="13"/>
      <c r="D55" s="13"/>
      <c r="E55" s="13"/>
      <c r="F55" s="17"/>
      <c r="G55" s="17"/>
      <c r="H55" s="13"/>
      <c r="I55" s="13"/>
    </row>
    <row r="56" spans="1:9" ht="24" customHeight="1">
      <c r="A56" s="16"/>
      <c r="B56" s="16"/>
      <c r="C56" s="13"/>
      <c r="D56" s="13"/>
      <c r="E56" s="13"/>
      <c r="F56" s="17"/>
      <c r="G56" s="17"/>
      <c r="H56" s="13"/>
      <c r="I56" s="13"/>
    </row>
    <row r="57" spans="1:9" ht="24" customHeight="1">
      <c r="A57" s="16"/>
      <c r="B57" s="16"/>
      <c r="C57" s="13"/>
      <c r="D57" s="13"/>
      <c r="E57" s="13"/>
      <c r="F57" s="17"/>
      <c r="G57" s="17"/>
      <c r="H57" s="13"/>
      <c r="I57" s="13"/>
    </row>
    <row r="58" spans="1:9" ht="24" customHeight="1">
      <c r="A58" s="16"/>
      <c r="B58" s="16"/>
      <c r="C58" s="13"/>
      <c r="D58" s="13"/>
      <c r="E58" s="13"/>
      <c r="F58" s="17"/>
      <c r="G58" s="17"/>
      <c r="H58" s="13"/>
      <c r="I58" s="13"/>
    </row>
    <row r="59" spans="1:9" ht="24" customHeight="1">
      <c r="A59" s="16"/>
      <c r="B59" s="16"/>
      <c r="C59" s="13"/>
      <c r="D59" s="13"/>
      <c r="E59" s="13"/>
      <c r="F59" s="17"/>
      <c r="G59" s="17"/>
      <c r="H59" s="13"/>
      <c r="I59" s="13"/>
    </row>
    <row r="60" spans="1:9" ht="24" customHeight="1">
      <c r="A60" s="16"/>
      <c r="B60" s="16"/>
      <c r="C60" s="13"/>
      <c r="D60" s="13"/>
      <c r="E60" s="13"/>
      <c r="F60" s="17"/>
      <c r="G60" s="17"/>
      <c r="H60" s="13"/>
      <c r="I60" s="13"/>
    </row>
    <row r="61" spans="1:9" ht="24" customHeight="1">
      <c r="A61" s="16"/>
      <c r="B61" s="16"/>
      <c r="C61" s="13"/>
      <c r="D61" s="13"/>
      <c r="E61" s="13"/>
      <c r="F61" s="17"/>
      <c r="G61" s="17"/>
      <c r="H61" s="13"/>
      <c r="I61" s="13"/>
    </row>
    <row r="62" spans="1:9" ht="24" customHeight="1">
      <c r="A62" s="16"/>
      <c r="B62" s="16"/>
      <c r="C62" s="13"/>
      <c r="D62" s="13"/>
      <c r="E62" s="13"/>
      <c r="F62" s="17"/>
      <c r="G62" s="17"/>
      <c r="H62" s="13"/>
      <c r="I62" s="13"/>
    </row>
    <row r="63" spans="1:9" ht="24" customHeight="1">
      <c r="A63" s="16"/>
      <c r="B63" s="16"/>
      <c r="C63" s="13"/>
      <c r="D63" s="13"/>
      <c r="E63" s="13"/>
      <c r="F63" s="17"/>
      <c r="G63" s="17"/>
      <c r="H63" s="13"/>
      <c r="I63" s="13"/>
    </row>
    <row r="64" spans="1:9" ht="24" customHeight="1">
      <c r="A64" s="16"/>
      <c r="B64" s="16"/>
      <c r="C64" s="13"/>
      <c r="D64" s="13"/>
      <c r="E64" s="13"/>
      <c r="F64" s="17"/>
      <c r="G64" s="17"/>
      <c r="H64" s="13"/>
      <c r="I64" s="13"/>
    </row>
    <row r="65" spans="1:9" ht="24" customHeight="1">
      <c r="A65" s="16"/>
      <c r="B65" s="16"/>
      <c r="C65" s="13"/>
      <c r="D65" s="13"/>
      <c r="E65" s="13"/>
      <c r="F65" s="17"/>
      <c r="G65" s="17"/>
      <c r="H65" s="13"/>
      <c r="I65" s="13"/>
    </row>
    <row r="66" spans="1:9" ht="24" customHeight="1">
      <c r="A66" s="16"/>
      <c r="B66" s="16"/>
      <c r="C66" s="13"/>
      <c r="D66" s="13"/>
      <c r="E66" s="13"/>
      <c r="F66" s="17"/>
      <c r="G66" s="17"/>
      <c r="H66" s="13"/>
      <c r="I66" s="13"/>
    </row>
    <row r="67" spans="1:9" ht="24" customHeight="1">
      <c r="A67" s="16"/>
      <c r="B67" s="16"/>
      <c r="C67" s="13"/>
      <c r="D67" s="13"/>
      <c r="E67" s="13"/>
      <c r="F67" s="17"/>
      <c r="G67" s="17"/>
      <c r="H67" s="13"/>
      <c r="I67" s="13"/>
    </row>
    <row r="68" spans="1:9" ht="24" customHeight="1">
      <c r="A68" s="16"/>
      <c r="B68" s="16"/>
      <c r="C68" s="13"/>
      <c r="D68" s="13"/>
      <c r="E68" s="13"/>
      <c r="F68" s="17"/>
      <c r="G68" s="17"/>
      <c r="H68" s="13"/>
      <c r="I68" s="13"/>
    </row>
    <row r="69" spans="1:9" ht="24" customHeight="1">
      <c r="A69" s="16"/>
      <c r="B69" s="16"/>
      <c r="C69" s="13"/>
      <c r="D69" s="13"/>
      <c r="E69" s="13"/>
      <c r="F69" s="17"/>
      <c r="G69" s="17"/>
      <c r="H69" s="13"/>
      <c r="I69" s="13"/>
    </row>
    <row r="70" spans="1:9" ht="24" customHeight="1">
      <c r="A70" s="16"/>
      <c r="B70" s="16"/>
      <c r="C70" s="13"/>
      <c r="D70" s="13"/>
      <c r="E70" s="13"/>
      <c r="F70" s="17"/>
      <c r="G70" s="17"/>
      <c r="H70" s="13"/>
      <c r="I70" s="13"/>
    </row>
    <row r="71" spans="1:9" ht="24" customHeight="1">
      <c r="A71" s="16"/>
      <c r="B71" s="16"/>
      <c r="C71" s="13"/>
      <c r="D71" s="13"/>
      <c r="E71" s="13"/>
      <c r="F71" s="17"/>
      <c r="G71" s="17"/>
      <c r="H71" s="13"/>
      <c r="I71" s="13"/>
    </row>
    <row r="72" spans="1:9" ht="24" customHeight="1">
      <c r="A72" s="16"/>
      <c r="B72" s="16"/>
      <c r="C72" s="13"/>
      <c r="D72" s="13"/>
      <c r="E72" s="13"/>
      <c r="F72" s="17"/>
      <c r="G72" s="17"/>
      <c r="H72" s="13"/>
      <c r="I72" s="13"/>
    </row>
    <row r="73" spans="1:9" ht="24" customHeight="1">
      <c r="A73" s="16"/>
      <c r="B73" s="16"/>
      <c r="C73" s="13"/>
      <c r="D73" s="13"/>
      <c r="E73" s="13"/>
      <c r="F73" s="17"/>
      <c r="G73" s="17"/>
      <c r="H73" s="13"/>
      <c r="I73" s="13"/>
    </row>
    <row r="74" spans="1:9" ht="24" customHeight="1">
      <c r="A74" s="16"/>
      <c r="B74" s="16"/>
      <c r="C74" s="13"/>
      <c r="D74" s="13"/>
      <c r="E74" s="13"/>
      <c r="F74" s="17"/>
      <c r="G74" s="17"/>
      <c r="H74" s="13"/>
      <c r="I74" s="13"/>
    </row>
    <row r="75" spans="1:9" ht="24" customHeight="1">
      <c r="A75" s="16"/>
      <c r="B75" s="16"/>
      <c r="C75" s="13"/>
      <c r="D75" s="13"/>
      <c r="E75" s="13"/>
      <c r="F75" s="17"/>
      <c r="G75" s="17"/>
      <c r="H75" s="13"/>
      <c r="I75" s="13"/>
    </row>
    <row r="76" spans="1:9" ht="24" customHeight="1">
      <c r="A76" s="16"/>
      <c r="B76" s="16"/>
      <c r="C76" s="13"/>
      <c r="D76" s="13"/>
      <c r="E76" s="13"/>
      <c r="F76" s="17"/>
      <c r="G76" s="17"/>
      <c r="H76" s="13"/>
      <c r="I76" s="13"/>
    </row>
    <row r="77" spans="1:9" ht="24" customHeight="1">
      <c r="A77" s="16"/>
      <c r="B77" s="16"/>
      <c r="C77" s="13"/>
      <c r="D77" s="13"/>
      <c r="E77" s="13"/>
      <c r="F77" s="17"/>
      <c r="G77" s="17"/>
      <c r="H77" s="13"/>
      <c r="I77" s="13"/>
    </row>
    <row r="78" spans="1:9" ht="24" customHeight="1">
      <c r="A78" s="16"/>
      <c r="B78" s="16"/>
      <c r="C78" s="13"/>
      <c r="D78" s="13"/>
      <c r="E78" s="13"/>
      <c r="F78" s="17"/>
      <c r="G78" s="17"/>
      <c r="H78" s="13"/>
      <c r="I78" s="13"/>
    </row>
    <row r="79" spans="1:9" ht="24" customHeight="1">
      <c r="A79" s="16"/>
      <c r="B79" s="16"/>
      <c r="C79" s="13"/>
      <c r="D79" s="13"/>
      <c r="E79" s="13"/>
      <c r="F79" s="17"/>
      <c r="G79" s="17"/>
      <c r="H79" s="13"/>
      <c r="I79" s="13"/>
    </row>
    <row r="80" spans="1:9" ht="24" customHeight="1">
      <c r="A80" s="16"/>
      <c r="B80" s="16"/>
      <c r="C80" s="13"/>
      <c r="D80" s="13"/>
      <c r="E80" s="13"/>
      <c r="F80" s="17"/>
      <c r="G80" s="17"/>
      <c r="H80" s="13"/>
      <c r="I80" s="13"/>
    </row>
    <row r="81" spans="1:9" ht="24" customHeight="1">
      <c r="A81" s="16"/>
      <c r="B81" s="16"/>
      <c r="C81" s="13"/>
      <c r="D81" s="13"/>
      <c r="E81" s="13"/>
      <c r="F81" s="17"/>
      <c r="G81" s="17"/>
      <c r="H81" s="13"/>
      <c r="I81" s="13"/>
    </row>
    <row r="82" spans="1:9" ht="24" customHeight="1">
      <c r="A82" s="16"/>
      <c r="B82" s="16"/>
      <c r="C82" s="13"/>
      <c r="D82" s="13"/>
      <c r="E82" s="13"/>
      <c r="F82" s="17"/>
      <c r="G82" s="17"/>
      <c r="H82" s="13"/>
      <c r="I82" s="13"/>
    </row>
    <row r="83" spans="1:9" ht="24" customHeight="1">
      <c r="A83" s="16"/>
      <c r="B83" s="16"/>
      <c r="C83" s="13"/>
      <c r="D83" s="13"/>
      <c r="E83" s="13"/>
      <c r="F83" s="17"/>
      <c r="G83" s="17"/>
      <c r="H83" s="13"/>
      <c r="I83" s="13"/>
    </row>
    <row r="84" spans="1:9" ht="24" customHeight="1">
      <c r="A84" s="16"/>
      <c r="B84" s="16"/>
      <c r="C84" s="13"/>
      <c r="D84" s="13"/>
      <c r="E84" s="13"/>
      <c r="F84" s="17"/>
      <c r="G84" s="17"/>
      <c r="H84" s="13"/>
      <c r="I84" s="13"/>
    </row>
    <row r="85" spans="1:9" ht="24" customHeight="1">
      <c r="A85" s="16"/>
      <c r="B85" s="16"/>
      <c r="C85" s="13"/>
      <c r="D85" s="13"/>
      <c r="E85" s="13"/>
      <c r="F85" s="17"/>
      <c r="G85" s="17"/>
      <c r="H85" s="13"/>
      <c r="I85" s="13"/>
    </row>
    <row r="86" spans="1:9" ht="24" customHeight="1">
      <c r="A86" s="16"/>
      <c r="B86" s="16"/>
      <c r="C86" s="13"/>
      <c r="D86" s="13"/>
      <c r="E86" s="13"/>
      <c r="F86" s="17"/>
      <c r="G86" s="17"/>
      <c r="H86" s="13"/>
      <c r="I86" s="13"/>
    </row>
    <row r="87" spans="1:9" ht="24" customHeight="1">
      <c r="A87" s="16"/>
      <c r="B87" s="16"/>
      <c r="C87" s="13"/>
      <c r="D87" s="13"/>
      <c r="E87" s="13"/>
      <c r="F87" s="17"/>
      <c r="G87" s="17"/>
      <c r="H87" s="13"/>
      <c r="I87" s="13"/>
    </row>
    <row r="88" spans="1:9" ht="24" customHeight="1">
      <c r="A88" s="16"/>
      <c r="B88" s="16"/>
      <c r="C88" s="13"/>
      <c r="D88" s="13"/>
      <c r="E88" s="13"/>
      <c r="F88" s="17"/>
      <c r="G88" s="17"/>
      <c r="H88" s="13"/>
      <c r="I88" s="13"/>
    </row>
    <row r="89" spans="1:9" ht="24" customHeight="1">
      <c r="A89" s="16"/>
      <c r="B89" s="16"/>
      <c r="C89" s="13"/>
      <c r="D89" s="13"/>
      <c r="E89" s="13"/>
      <c r="F89" s="17"/>
      <c r="G89" s="17"/>
      <c r="H89" s="13"/>
      <c r="I89" s="13"/>
    </row>
    <row r="90" spans="1:9" ht="24" customHeight="1">
      <c r="A90" s="16"/>
      <c r="B90" s="16"/>
      <c r="C90" s="13"/>
      <c r="D90" s="13"/>
      <c r="E90" s="13"/>
      <c r="F90" s="17"/>
      <c r="G90" s="17"/>
      <c r="H90" s="13"/>
      <c r="I90" s="13"/>
    </row>
    <row r="91" spans="1:9" ht="24" customHeight="1">
      <c r="A91" s="16"/>
      <c r="B91" s="16"/>
      <c r="C91" s="13"/>
      <c r="D91" s="13"/>
      <c r="E91" s="13"/>
      <c r="F91" s="17"/>
      <c r="G91" s="17"/>
      <c r="H91" s="13"/>
      <c r="I91" s="13"/>
    </row>
    <row r="92" spans="1:9" ht="24" customHeight="1">
      <c r="A92" s="16"/>
      <c r="B92" s="16"/>
      <c r="C92" s="13"/>
      <c r="D92" s="13"/>
      <c r="E92" s="13"/>
      <c r="F92" s="17"/>
      <c r="G92" s="17"/>
      <c r="H92" s="13"/>
      <c r="I92" s="13"/>
    </row>
    <row r="93" spans="1:9" ht="24" customHeight="1">
      <c r="A93" s="16"/>
      <c r="B93" s="16"/>
      <c r="C93" s="13"/>
      <c r="D93" s="13"/>
      <c r="E93" s="13"/>
      <c r="F93" s="17"/>
      <c r="G93" s="17"/>
      <c r="H93" s="13"/>
      <c r="I93" s="13"/>
    </row>
    <row r="94" spans="1:9" ht="24" customHeight="1">
      <c r="A94" s="16"/>
      <c r="B94" s="16"/>
      <c r="C94" s="13"/>
      <c r="D94" s="13"/>
      <c r="E94" s="13"/>
      <c r="F94" s="17"/>
      <c r="G94" s="17"/>
      <c r="H94" s="13"/>
      <c r="I94" s="13"/>
    </row>
    <row r="95" spans="1:9" ht="24" customHeight="1">
      <c r="A95" s="16"/>
      <c r="B95" s="16"/>
      <c r="C95" s="13"/>
      <c r="D95" s="13"/>
      <c r="E95" s="13"/>
      <c r="F95" s="17"/>
      <c r="G95" s="17"/>
      <c r="H95" s="13"/>
      <c r="I95" s="13"/>
    </row>
    <row r="96" spans="1:9" ht="24" customHeight="1">
      <c r="A96" s="16"/>
      <c r="B96" s="16"/>
      <c r="C96" s="13"/>
      <c r="D96" s="13"/>
      <c r="E96" s="13"/>
      <c r="F96" s="17"/>
      <c r="G96" s="17"/>
      <c r="H96" s="13"/>
      <c r="I96" s="13"/>
    </row>
    <row r="97" spans="1:9" ht="24" customHeight="1">
      <c r="A97" s="16"/>
      <c r="B97" s="16"/>
      <c r="C97" s="13"/>
      <c r="D97" s="13"/>
      <c r="E97" s="13"/>
      <c r="F97" s="17"/>
      <c r="G97" s="17"/>
      <c r="H97" s="13"/>
      <c r="I97" s="13"/>
    </row>
    <row r="98" spans="1:9" ht="24" customHeight="1">
      <c r="A98" s="16"/>
      <c r="B98" s="16"/>
      <c r="C98" s="13"/>
      <c r="D98" s="13"/>
      <c r="E98" s="13"/>
      <c r="F98" s="17"/>
      <c r="G98" s="17"/>
      <c r="H98" s="13"/>
      <c r="I98" s="13"/>
    </row>
    <row r="99" spans="1:9" ht="24" customHeight="1">
      <c r="A99" s="16"/>
      <c r="B99" s="16"/>
      <c r="C99" s="13"/>
      <c r="D99" s="13"/>
      <c r="E99" s="13"/>
      <c r="F99" s="17"/>
      <c r="G99" s="17"/>
      <c r="H99" s="13"/>
      <c r="I99" s="13"/>
    </row>
    <row r="100" spans="1:9" ht="24" customHeight="1">
      <c r="A100" s="16"/>
      <c r="B100" s="16"/>
      <c r="C100" s="13"/>
      <c r="D100" s="13"/>
      <c r="E100" s="13"/>
      <c r="F100" s="17"/>
      <c r="G100" s="17"/>
      <c r="H100" s="13"/>
      <c r="I100" s="13"/>
    </row>
    <row r="101" spans="1:9" ht="24" customHeight="1">
      <c r="A101" s="16"/>
      <c r="B101" s="16"/>
      <c r="C101" s="13"/>
      <c r="D101" s="13"/>
      <c r="E101" s="13"/>
      <c r="F101" s="17"/>
      <c r="G101" s="17"/>
      <c r="H101" s="13"/>
      <c r="I101" s="13"/>
    </row>
    <row r="102" spans="1:9" ht="24" customHeight="1">
      <c r="A102" s="16"/>
      <c r="B102" s="16"/>
      <c r="C102" s="13"/>
      <c r="D102" s="13"/>
      <c r="E102" s="13"/>
      <c r="F102" s="17"/>
      <c r="G102" s="17"/>
      <c r="H102" s="13"/>
      <c r="I102" s="13"/>
    </row>
    <row r="103" spans="1:9" ht="24" customHeight="1">
      <c r="A103" s="16"/>
      <c r="B103" s="16"/>
      <c r="C103" s="13"/>
      <c r="D103" s="13"/>
      <c r="E103" s="13"/>
      <c r="F103" s="17"/>
      <c r="G103" s="17"/>
      <c r="H103" s="13"/>
      <c r="I103" s="13"/>
    </row>
    <row r="104" spans="1:9" ht="24" customHeight="1">
      <c r="A104" s="16"/>
      <c r="B104" s="16"/>
      <c r="C104" s="13"/>
      <c r="D104" s="13"/>
      <c r="E104" s="13"/>
      <c r="F104" s="17"/>
      <c r="G104" s="17"/>
      <c r="H104" s="13"/>
      <c r="I104" s="13"/>
    </row>
    <row r="105" spans="1:9" ht="24" customHeight="1">
      <c r="A105" s="16"/>
      <c r="B105" s="16"/>
      <c r="C105" s="13"/>
      <c r="D105" s="13"/>
      <c r="E105" s="13"/>
      <c r="F105" s="17"/>
      <c r="G105" s="17"/>
      <c r="H105" s="13"/>
      <c r="I105" s="13"/>
    </row>
    <row r="106" spans="1:9" ht="24" customHeight="1">
      <c r="A106" s="16"/>
      <c r="B106" s="16"/>
      <c r="C106" s="13"/>
      <c r="D106" s="13"/>
      <c r="E106" s="13"/>
      <c r="F106" s="17"/>
      <c r="G106" s="17"/>
      <c r="H106" s="13"/>
      <c r="I106" s="13"/>
    </row>
    <row r="107" spans="1:9" ht="24" customHeight="1">
      <c r="A107" s="16"/>
      <c r="B107" s="16"/>
      <c r="C107" s="13"/>
      <c r="D107" s="13"/>
      <c r="E107" s="13"/>
      <c r="F107" s="17"/>
      <c r="G107" s="17"/>
      <c r="H107" s="13"/>
      <c r="I107" s="13"/>
    </row>
    <row r="108" spans="1:9" ht="24" customHeight="1">
      <c r="A108" s="16"/>
      <c r="B108" s="16"/>
      <c r="C108" s="13"/>
      <c r="D108" s="13"/>
      <c r="E108" s="13"/>
      <c r="F108" s="17"/>
      <c r="G108" s="17"/>
      <c r="H108" s="13"/>
      <c r="I108" s="13"/>
    </row>
    <row r="109" spans="1:9" ht="24" customHeight="1">
      <c r="A109" s="16"/>
      <c r="B109" s="16"/>
      <c r="C109" s="13"/>
      <c r="D109" s="13"/>
      <c r="E109" s="13"/>
      <c r="F109" s="17"/>
      <c r="G109" s="17"/>
      <c r="H109" s="13"/>
      <c r="I109" s="13"/>
    </row>
    <row r="110" spans="1:9" ht="24" customHeight="1">
      <c r="A110" s="16"/>
      <c r="B110" s="16"/>
      <c r="C110" s="13"/>
      <c r="D110" s="13"/>
      <c r="E110" s="13"/>
      <c r="F110" s="17"/>
      <c r="G110" s="17"/>
      <c r="H110" s="13"/>
      <c r="I110" s="13"/>
    </row>
    <row r="111" spans="1:9" ht="24" customHeight="1">
      <c r="A111" s="16"/>
      <c r="B111" s="16"/>
      <c r="C111" s="13"/>
      <c r="D111" s="13"/>
      <c r="E111" s="13"/>
      <c r="F111" s="17"/>
      <c r="G111" s="17"/>
      <c r="H111" s="13"/>
      <c r="I111" s="13"/>
    </row>
    <row r="112" spans="1:9" ht="24" customHeight="1">
      <c r="A112" s="16"/>
      <c r="B112" s="16"/>
      <c r="C112" s="13"/>
      <c r="D112" s="13"/>
      <c r="E112" s="13"/>
      <c r="F112" s="17"/>
      <c r="G112" s="17"/>
      <c r="H112" s="13"/>
      <c r="I112" s="13"/>
    </row>
    <row r="113" spans="1:9" ht="24" customHeight="1">
      <c r="A113" s="16"/>
      <c r="B113" s="16"/>
      <c r="C113" s="13"/>
      <c r="D113" s="13"/>
      <c r="E113" s="13"/>
      <c r="F113" s="17"/>
      <c r="G113" s="17"/>
      <c r="H113" s="13"/>
      <c r="I113" s="13"/>
    </row>
    <row r="114" spans="1:9" ht="24" customHeight="1">
      <c r="A114" s="16"/>
      <c r="B114" s="16"/>
      <c r="C114" s="13"/>
      <c r="D114" s="13"/>
      <c r="E114" s="13"/>
      <c r="F114" s="17"/>
      <c r="G114" s="17"/>
      <c r="H114" s="13"/>
      <c r="I114" s="13"/>
    </row>
    <row r="115" spans="1:9" ht="24" customHeight="1">
      <c r="A115" s="16"/>
      <c r="B115" s="16"/>
      <c r="C115" s="13"/>
      <c r="D115" s="13"/>
      <c r="E115" s="13"/>
      <c r="F115" s="17"/>
      <c r="G115" s="17"/>
      <c r="H115" s="13"/>
      <c r="I115" s="13"/>
    </row>
    <row r="116" spans="1:9" ht="24" customHeight="1">
      <c r="A116" s="16"/>
      <c r="B116" s="16"/>
      <c r="C116" s="13"/>
      <c r="D116" s="13"/>
      <c r="E116" s="13"/>
      <c r="F116" s="17"/>
      <c r="G116" s="17"/>
      <c r="H116" s="13"/>
      <c r="I116" s="13"/>
    </row>
    <row r="117" spans="1:9" ht="24" customHeight="1">
      <c r="A117" s="16"/>
      <c r="B117" s="16"/>
      <c r="C117" s="13"/>
      <c r="D117" s="13"/>
      <c r="E117" s="13"/>
      <c r="F117" s="17"/>
      <c r="G117" s="17"/>
      <c r="H117" s="13"/>
      <c r="I117" s="13"/>
    </row>
    <row r="118" spans="1:9" ht="24" customHeight="1">
      <c r="A118" s="16"/>
      <c r="B118" s="16"/>
      <c r="C118" s="13"/>
      <c r="D118" s="13"/>
      <c r="E118" s="13"/>
      <c r="F118" s="17"/>
      <c r="G118" s="17"/>
      <c r="H118" s="13"/>
      <c r="I118" s="13"/>
    </row>
    <row r="119" spans="1:9" ht="24" customHeight="1">
      <c r="A119" s="16"/>
      <c r="B119" s="16"/>
      <c r="C119" s="13"/>
      <c r="D119" s="13"/>
      <c r="E119" s="13"/>
      <c r="F119" s="17"/>
      <c r="G119" s="17"/>
      <c r="H119" s="13"/>
      <c r="I119" s="13"/>
    </row>
    <row r="120" spans="1:9" ht="24" customHeight="1">
      <c r="A120" s="16"/>
      <c r="B120" s="16"/>
      <c r="C120" s="13"/>
      <c r="D120" s="13"/>
      <c r="E120" s="13"/>
      <c r="F120" s="17"/>
      <c r="G120" s="17"/>
      <c r="H120" s="13"/>
      <c r="I120" s="13"/>
    </row>
    <row r="121" spans="1:9" ht="24" customHeight="1">
      <c r="A121" s="16"/>
      <c r="B121" s="16"/>
      <c r="C121" s="13"/>
      <c r="D121" s="13"/>
      <c r="E121" s="13"/>
      <c r="F121" s="17"/>
      <c r="G121" s="17"/>
      <c r="H121" s="13"/>
      <c r="I121" s="13"/>
    </row>
    <row r="122" spans="1:9" ht="24" customHeight="1">
      <c r="A122" s="16"/>
      <c r="B122" s="16"/>
      <c r="C122" s="13"/>
      <c r="D122" s="13"/>
      <c r="E122" s="13"/>
      <c r="F122" s="17"/>
      <c r="G122" s="17"/>
      <c r="H122" s="13"/>
      <c r="I122" s="13"/>
    </row>
    <row r="123" spans="1:9" ht="24" customHeight="1">
      <c r="A123" s="16"/>
      <c r="B123" s="16"/>
      <c r="C123" s="13"/>
      <c r="D123" s="13"/>
      <c r="E123" s="13"/>
      <c r="F123" s="17"/>
      <c r="G123" s="17"/>
      <c r="H123" s="13"/>
      <c r="I123" s="13"/>
    </row>
    <row r="124" spans="1:9" ht="24" customHeight="1">
      <c r="A124" s="16"/>
      <c r="B124" s="16"/>
      <c r="C124" s="13"/>
      <c r="D124" s="13"/>
      <c r="E124" s="13"/>
      <c r="F124" s="17"/>
      <c r="G124" s="17"/>
      <c r="H124" s="13"/>
      <c r="I124" s="13"/>
    </row>
    <row r="125" spans="1:9" ht="24" customHeight="1">
      <c r="A125" s="16"/>
      <c r="B125" s="16"/>
      <c r="C125" s="13"/>
      <c r="D125" s="13"/>
      <c r="E125" s="13"/>
      <c r="F125" s="17"/>
      <c r="G125" s="17"/>
      <c r="H125" s="13"/>
      <c r="I125" s="13"/>
    </row>
    <row r="126" spans="1:9" ht="24" customHeight="1">
      <c r="A126" s="16"/>
      <c r="B126" s="16"/>
      <c r="C126" s="13"/>
      <c r="D126" s="13"/>
      <c r="E126" s="13"/>
      <c r="F126" s="17"/>
      <c r="G126" s="17"/>
      <c r="H126" s="13"/>
      <c r="I126" s="13"/>
    </row>
    <row r="127" spans="1:9" ht="24" customHeight="1">
      <c r="A127" s="16"/>
      <c r="B127" s="16"/>
      <c r="C127" s="13"/>
      <c r="D127" s="13"/>
      <c r="E127" s="13"/>
      <c r="F127" s="17"/>
      <c r="G127" s="17"/>
      <c r="H127" s="13"/>
      <c r="I127" s="13"/>
    </row>
    <row r="128" spans="1:9" ht="24" customHeight="1">
      <c r="A128" s="16"/>
      <c r="B128" s="16"/>
      <c r="C128" s="13"/>
      <c r="D128" s="13"/>
      <c r="E128" s="13"/>
      <c r="F128" s="17"/>
      <c r="G128" s="17"/>
      <c r="H128" s="13"/>
      <c r="I128" s="13"/>
    </row>
    <row r="129" spans="1:9" ht="24" customHeight="1">
      <c r="A129" s="16"/>
      <c r="B129" s="16"/>
      <c r="C129" s="13"/>
      <c r="D129" s="13"/>
      <c r="E129" s="13"/>
      <c r="F129" s="17"/>
      <c r="G129" s="17"/>
      <c r="H129" s="13"/>
      <c r="I129" s="13"/>
    </row>
    <row r="130" spans="1:9" ht="24" customHeight="1">
      <c r="A130" s="16"/>
      <c r="B130" s="16"/>
      <c r="C130" s="13"/>
      <c r="D130" s="13"/>
      <c r="E130" s="13"/>
      <c r="F130" s="17"/>
      <c r="G130" s="17"/>
      <c r="H130" s="13"/>
      <c r="I130" s="13"/>
    </row>
    <row r="131" spans="1:9" ht="24" customHeight="1">
      <c r="A131" s="16"/>
      <c r="B131" s="16"/>
      <c r="C131" s="13"/>
      <c r="D131" s="13"/>
      <c r="E131" s="13"/>
      <c r="F131" s="17"/>
      <c r="G131" s="17"/>
      <c r="H131" s="13"/>
      <c r="I131" s="13"/>
    </row>
    <row r="132" spans="1:9" ht="24" customHeight="1">
      <c r="A132" s="16"/>
      <c r="B132" s="16"/>
      <c r="C132" s="13"/>
      <c r="D132" s="13"/>
      <c r="E132" s="13"/>
      <c r="F132" s="17"/>
      <c r="G132" s="17"/>
      <c r="H132" s="13"/>
      <c r="I132" s="13"/>
    </row>
    <row r="133" spans="1:9" ht="24" customHeight="1">
      <c r="A133" s="16"/>
      <c r="B133" s="16"/>
      <c r="C133" s="13"/>
      <c r="D133" s="13"/>
      <c r="E133" s="13"/>
      <c r="F133" s="17"/>
      <c r="G133" s="17"/>
      <c r="H133" s="13"/>
      <c r="I133" s="13"/>
    </row>
    <row r="134" spans="1:9" ht="24" customHeight="1">
      <c r="A134" s="16"/>
      <c r="B134" s="16"/>
      <c r="C134" s="13"/>
      <c r="D134" s="13"/>
      <c r="E134" s="13"/>
      <c r="F134" s="17"/>
      <c r="G134" s="17"/>
      <c r="H134" s="13"/>
      <c r="I134" s="13"/>
    </row>
    <row r="135" spans="1:9" ht="24" customHeight="1">
      <c r="A135" s="16"/>
      <c r="B135" s="16"/>
      <c r="C135" s="13"/>
      <c r="D135" s="13"/>
      <c r="E135" s="13"/>
      <c r="F135" s="17"/>
      <c r="G135" s="17"/>
      <c r="H135" s="13"/>
      <c r="I135" s="13"/>
    </row>
    <row r="136" spans="1:9" ht="24" customHeight="1">
      <c r="A136" s="16"/>
      <c r="B136" s="16"/>
      <c r="C136" s="13"/>
      <c r="D136" s="13"/>
      <c r="E136" s="13"/>
      <c r="F136" s="17"/>
      <c r="G136" s="17"/>
      <c r="H136" s="13"/>
      <c r="I136" s="13"/>
    </row>
    <row r="137" spans="1:9" ht="24" customHeight="1">
      <c r="A137" s="16"/>
      <c r="B137" s="16"/>
      <c r="C137" s="13"/>
      <c r="D137" s="13"/>
      <c r="E137" s="13"/>
      <c r="F137" s="17"/>
      <c r="G137" s="17"/>
      <c r="H137" s="13"/>
      <c r="I137" s="13"/>
    </row>
    <row r="138" spans="1:9" ht="24" customHeight="1">
      <c r="A138" s="16"/>
      <c r="B138" s="16"/>
      <c r="C138" s="13"/>
      <c r="D138" s="13"/>
      <c r="E138" s="13"/>
      <c r="F138" s="17"/>
      <c r="G138" s="17"/>
      <c r="H138" s="13"/>
      <c r="I138" s="13"/>
    </row>
    <row r="139" spans="1:9" ht="24" customHeight="1">
      <c r="A139" s="16"/>
      <c r="B139" s="16"/>
      <c r="C139" s="13"/>
      <c r="D139" s="13"/>
      <c r="E139" s="13"/>
      <c r="F139" s="17"/>
      <c r="G139" s="17"/>
      <c r="H139" s="13"/>
      <c r="I139" s="13"/>
    </row>
    <row r="140" spans="1:9" ht="24" customHeight="1">
      <c r="A140" s="16"/>
      <c r="B140" s="16"/>
      <c r="C140" s="13"/>
      <c r="D140" s="13"/>
      <c r="E140" s="13"/>
      <c r="F140" s="17"/>
      <c r="G140" s="17"/>
      <c r="H140" s="13"/>
      <c r="I140" s="13"/>
    </row>
    <row r="141" spans="1:9" ht="24" customHeight="1">
      <c r="A141" s="16"/>
      <c r="B141" s="16"/>
      <c r="C141" s="13"/>
      <c r="D141" s="13"/>
      <c r="E141" s="13"/>
      <c r="F141" s="17"/>
      <c r="G141" s="17"/>
      <c r="H141" s="13"/>
      <c r="I141" s="13"/>
    </row>
    <row r="142" spans="1:9" ht="24" customHeight="1">
      <c r="A142" s="16"/>
      <c r="B142" s="16"/>
      <c r="C142" s="13"/>
      <c r="D142" s="13"/>
      <c r="E142" s="13"/>
      <c r="F142" s="17"/>
      <c r="G142" s="17"/>
      <c r="H142" s="13"/>
      <c r="I142" s="13"/>
    </row>
    <row r="143" spans="1:9" ht="24" customHeight="1">
      <c r="A143" s="16"/>
      <c r="B143" s="16"/>
      <c r="C143" s="13"/>
      <c r="D143" s="13"/>
      <c r="E143" s="13"/>
      <c r="F143" s="17"/>
      <c r="G143" s="17"/>
      <c r="H143" s="13"/>
      <c r="I143" s="13"/>
    </row>
    <row r="144" spans="1:9" ht="24" customHeight="1">
      <c r="A144" s="16"/>
      <c r="B144" s="16"/>
      <c r="C144" s="13"/>
      <c r="D144" s="13"/>
      <c r="E144" s="13"/>
      <c r="F144" s="17"/>
      <c r="G144" s="17"/>
      <c r="H144" s="13"/>
      <c r="I144" s="13"/>
    </row>
    <row r="145" spans="1:9" ht="24" customHeight="1">
      <c r="A145" s="16"/>
      <c r="B145" s="16"/>
      <c r="C145" s="13"/>
      <c r="D145" s="13"/>
      <c r="E145" s="13"/>
      <c r="F145" s="17"/>
      <c r="G145" s="17"/>
      <c r="H145" s="13"/>
      <c r="I145" s="13"/>
    </row>
    <row r="146" spans="1:9" ht="24" customHeight="1">
      <c r="A146" s="16"/>
      <c r="B146" s="16"/>
      <c r="C146" s="13"/>
      <c r="D146" s="13"/>
      <c r="E146" s="13"/>
      <c r="F146" s="17"/>
      <c r="G146" s="17"/>
      <c r="H146" s="13"/>
      <c r="I146" s="13"/>
    </row>
    <row r="147" spans="1:9" ht="24" customHeight="1">
      <c r="A147" s="16"/>
      <c r="B147" s="16"/>
      <c r="C147" s="13"/>
      <c r="D147" s="13"/>
      <c r="E147" s="13"/>
      <c r="F147" s="17"/>
      <c r="G147" s="17"/>
      <c r="H147" s="13"/>
      <c r="I147" s="13"/>
    </row>
    <row r="148" spans="1:9" ht="24" customHeight="1">
      <c r="A148" s="16"/>
      <c r="B148" s="16"/>
      <c r="C148" s="13"/>
      <c r="D148" s="13"/>
      <c r="E148" s="13"/>
      <c r="F148" s="17"/>
      <c r="G148" s="17"/>
      <c r="H148" s="13"/>
      <c r="I148" s="13"/>
    </row>
    <row r="149" spans="1:9" ht="24" customHeight="1">
      <c r="A149" s="16"/>
      <c r="B149" s="16"/>
      <c r="C149" s="13"/>
      <c r="D149" s="13"/>
      <c r="E149" s="13"/>
      <c r="F149" s="17"/>
      <c r="G149" s="17"/>
      <c r="H149" s="13"/>
      <c r="I149" s="13"/>
    </row>
    <row r="150" spans="1:9" ht="24" customHeight="1">
      <c r="A150" s="16"/>
      <c r="B150" s="16"/>
      <c r="C150" s="13"/>
      <c r="D150" s="13"/>
      <c r="E150" s="13"/>
      <c r="F150" s="17"/>
      <c r="G150" s="17"/>
      <c r="H150" s="13"/>
      <c r="I150" s="13"/>
    </row>
    <row r="151" spans="1:9" ht="24" customHeight="1">
      <c r="A151" s="16"/>
      <c r="B151" s="16"/>
      <c r="C151" s="13"/>
      <c r="D151" s="13"/>
      <c r="E151" s="13"/>
      <c r="F151" s="17"/>
      <c r="G151" s="17"/>
      <c r="H151" s="13"/>
      <c r="I151" s="13"/>
    </row>
    <row r="152" spans="1:9" ht="24" customHeight="1">
      <c r="A152" s="16"/>
      <c r="B152" s="16"/>
      <c r="C152" s="13"/>
      <c r="D152" s="13"/>
      <c r="E152" s="13"/>
      <c r="F152" s="17"/>
      <c r="G152" s="17"/>
      <c r="H152" s="13"/>
      <c r="I152" s="13"/>
    </row>
    <row r="153" spans="1:9" ht="24" customHeight="1">
      <c r="A153" s="16"/>
      <c r="B153" s="16"/>
      <c r="C153" s="13"/>
      <c r="D153" s="13"/>
      <c r="E153" s="13"/>
      <c r="F153" s="17"/>
      <c r="G153" s="17"/>
      <c r="H153" s="13"/>
      <c r="I153" s="13"/>
    </row>
    <row r="154" spans="1:9" ht="24" customHeight="1">
      <c r="A154" s="16"/>
      <c r="B154" s="16"/>
      <c r="C154" s="13"/>
      <c r="D154" s="13"/>
      <c r="E154" s="13"/>
      <c r="F154" s="17"/>
      <c r="G154" s="17"/>
      <c r="H154" s="13"/>
      <c r="I154" s="13"/>
    </row>
    <row r="155" spans="1:9" ht="24" customHeight="1">
      <c r="A155" s="16"/>
      <c r="B155" s="16"/>
      <c r="C155" s="13"/>
      <c r="D155" s="13"/>
      <c r="E155" s="13"/>
      <c r="F155" s="17"/>
      <c r="G155" s="17"/>
      <c r="H155" s="13"/>
      <c r="I155" s="13"/>
    </row>
    <row r="156" spans="1:9" ht="24" customHeight="1">
      <c r="A156" s="16"/>
      <c r="B156" s="16"/>
      <c r="C156" s="13"/>
      <c r="D156" s="13"/>
      <c r="E156" s="13"/>
      <c r="F156" s="17"/>
      <c r="G156" s="17"/>
      <c r="H156" s="13"/>
      <c r="I156" s="13"/>
    </row>
    <row r="157" spans="1:9" ht="24" customHeight="1">
      <c r="A157" s="16"/>
      <c r="B157" s="16"/>
      <c r="C157" s="13"/>
      <c r="D157" s="13"/>
      <c r="E157" s="13"/>
      <c r="F157" s="17"/>
      <c r="G157" s="17"/>
      <c r="H157" s="13"/>
      <c r="I157" s="13"/>
    </row>
    <row r="158" spans="1:9" ht="24" customHeight="1">
      <c r="A158" s="16"/>
      <c r="B158" s="16"/>
      <c r="C158" s="13"/>
      <c r="D158" s="13"/>
      <c r="E158" s="13"/>
      <c r="F158" s="17"/>
      <c r="G158" s="17"/>
      <c r="H158" s="13"/>
      <c r="I158" s="13"/>
    </row>
    <row r="159" spans="1:9" ht="24" customHeight="1">
      <c r="A159" s="16"/>
      <c r="B159" s="16"/>
      <c r="C159" s="13"/>
      <c r="D159" s="13"/>
      <c r="E159" s="13"/>
      <c r="F159" s="17"/>
      <c r="G159" s="17"/>
      <c r="H159" s="13"/>
      <c r="I159" s="13"/>
    </row>
    <row r="160" spans="1:9" ht="24" customHeight="1">
      <c r="A160" s="16"/>
      <c r="B160" s="16"/>
      <c r="C160" s="13"/>
      <c r="D160" s="13"/>
      <c r="E160" s="13"/>
      <c r="F160" s="17"/>
      <c r="G160" s="17"/>
      <c r="H160" s="13"/>
      <c r="I160" s="13"/>
    </row>
    <row r="161" spans="1:9" ht="24" customHeight="1">
      <c r="A161" s="16"/>
      <c r="B161" s="16"/>
      <c r="C161" s="13"/>
      <c r="D161" s="13"/>
      <c r="E161" s="13"/>
      <c r="F161" s="17"/>
      <c r="G161" s="17"/>
      <c r="H161" s="13"/>
      <c r="I161" s="13"/>
    </row>
    <row r="162" spans="1:9" ht="24" customHeight="1">
      <c r="A162" s="16"/>
      <c r="B162" s="16"/>
      <c r="C162" s="13"/>
      <c r="D162" s="13"/>
      <c r="E162" s="13"/>
      <c r="F162" s="17"/>
      <c r="G162" s="17"/>
      <c r="H162" s="13"/>
      <c r="I162" s="13"/>
    </row>
    <row r="163" spans="1:9" ht="24" customHeight="1">
      <c r="A163" s="16"/>
      <c r="B163" s="16"/>
      <c r="C163" s="13"/>
      <c r="D163" s="13"/>
      <c r="E163" s="13"/>
      <c r="F163" s="17"/>
      <c r="G163" s="17"/>
      <c r="H163" s="13"/>
      <c r="I163" s="13"/>
    </row>
    <row r="164" spans="1:9" ht="24" customHeight="1">
      <c r="A164" s="16"/>
      <c r="B164" s="16"/>
      <c r="C164" s="13"/>
      <c r="D164" s="13"/>
      <c r="E164" s="13"/>
      <c r="F164" s="17"/>
      <c r="G164" s="17"/>
      <c r="H164" s="13"/>
      <c r="I164" s="13"/>
    </row>
    <row r="165" spans="1:9" ht="24" customHeight="1">
      <c r="A165" s="16"/>
      <c r="B165" s="16"/>
      <c r="C165" s="13"/>
      <c r="D165" s="13"/>
      <c r="E165" s="13"/>
      <c r="F165" s="17"/>
      <c r="G165" s="17"/>
      <c r="H165" s="13"/>
      <c r="I165" s="13"/>
    </row>
    <row r="166" spans="1:9" ht="24" customHeight="1">
      <c r="A166" s="16"/>
      <c r="B166" s="16"/>
      <c r="C166" s="13"/>
      <c r="D166" s="13"/>
      <c r="E166" s="13"/>
      <c r="F166" s="17"/>
      <c r="G166" s="17"/>
      <c r="H166" s="13"/>
      <c r="I166" s="13"/>
    </row>
    <row r="167" spans="1:9" ht="24" customHeight="1">
      <c r="A167" s="16"/>
      <c r="B167" s="16"/>
      <c r="C167" s="13"/>
      <c r="D167" s="13"/>
      <c r="E167" s="13"/>
      <c r="F167" s="17"/>
      <c r="G167" s="17"/>
      <c r="H167" s="13"/>
      <c r="I167" s="13"/>
    </row>
    <row r="168" spans="1:9" ht="24" customHeight="1">
      <c r="A168" s="16"/>
      <c r="B168" s="16"/>
      <c r="C168" s="13"/>
      <c r="D168" s="13"/>
      <c r="E168" s="13"/>
      <c r="F168" s="17"/>
      <c r="G168" s="17"/>
      <c r="H168" s="13"/>
      <c r="I168" s="13"/>
    </row>
    <row r="169" spans="1:9" ht="24" customHeight="1">
      <c r="A169" s="16"/>
      <c r="B169" s="16"/>
      <c r="C169" s="13"/>
      <c r="D169" s="13"/>
      <c r="E169" s="13"/>
      <c r="F169" s="17"/>
      <c r="G169" s="17"/>
      <c r="H169" s="13"/>
      <c r="I169" s="13"/>
    </row>
    <row r="170" spans="1:9" ht="24" customHeight="1">
      <c r="A170" s="16"/>
      <c r="B170" s="16"/>
      <c r="C170" s="13"/>
      <c r="D170" s="13"/>
      <c r="E170" s="13"/>
      <c r="F170" s="17"/>
      <c r="G170" s="17"/>
      <c r="H170" s="13"/>
      <c r="I170" s="13"/>
    </row>
    <row r="171" spans="1:9" ht="24" customHeight="1">
      <c r="A171" s="16"/>
      <c r="B171" s="16"/>
      <c r="C171" s="13"/>
      <c r="D171" s="13"/>
      <c r="E171" s="13"/>
      <c r="F171" s="17"/>
      <c r="G171" s="17"/>
      <c r="H171" s="13"/>
      <c r="I171" s="13"/>
    </row>
    <row r="172" spans="1:9" ht="24" customHeight="1">
      <c r="A172" s="16"/>
      <c r="B172" s="16"/>
      <c r="C172" s="13"/>
      <c r="D172" s="13"/>
      <c r="E172" s="13"/>
      <c r="F172" s="17"/>
      <c r="G172" s="17"/>
      <c r="H172" s="13"/>
      <c r="I172" s="13"/>
    </row>
    <row r="173" spans="1:9" ht="24" customHeight="1">
      <c r="A173" s="16"/>
      <c r="B173" s="16"/>
      <c r="C173" s="13"/>
      <c r="D173" s="13"/>
      <c r="E173" s="13"/>
      <c r="F173" s="17"/>
      <c r="G173" s="17"/>
      <c r="H173" s="13"/>
      <c r="I173" s="13"/>
    </row>
    <row r="174" spans="1:9" ht="24" customHeight="1">
      <c r="A174" s="16"/>
      <c r="B174" s="16"/>
      <c r="C174" s="13"/>
      <c r="D174" s="13"/>
      <c r="E174" s="13"/>
      <c r="F174" s="17"/>
      <c r="G174" s="17"/>
      <c r="H174" s="13"/>
      <c r="I174" s="13"/>
    </row>
    <row r="175" spans="1:9" ht="24" customHeight="1">
      <c r="A175" s="16"/>
      <c r="B175" s="16"/>
      <c r="C175" s="13"/>
      <c r="D175" s="13"/>
      <c r="E175" s="13"/>
      <c r="F175" s="17"/>
      <c r="G175" s="17"/>
      <c r="H175" s="13"/>
      <c r="I175" s="13"/>
    </row>
    <row r="176" spans="1:9" ht="24" customHeight="1">
      <c r="A176" s="16"/>
      <c r="B176" s="16"/>
      <c r="C176" s="13"/>
      <c r="D176" s="13"/>
      <c r="E176" s="13"/>
      <c r="F176" s="17"/>
      <c r="G176" s="17"/>
      <c r="H176" s="13"/>
      <c r="I176" s="13"/>
    </row>
    <row r="177" spans="1:9" ht="24" customHeight="1">
      <c r="A177" s="16"/>
      <c r="B177" s="16"/>
      <c r="C177" s="13"/>
      <c r="D177" s="13"/>
      <c r="E177" s="13"/>
      <c r="F177" s="17"/>
      <c r="G177" s="17"/>
      <c r="H177" s="13"/>
      <c r="I177" s="13"/>
    </row>
    <row r="178" spans="1:9" ht="24" customHeight="1">
      <c r="A178" s="16"/>
      <c r="B178" s="16"/>
      <c r="C178" s="13"/>
      <c r="D178" s="13"/>
      <c r="E178" s="13"/>
      <c r="F178" s="17"/>
      <c r="G178" s="17"/>
      <c r="H178" s="13"/>
      <c r="I178" s="13"/>
    </row>
    <row r="179" spans="1:9" ht="24" customHeight="1">
      <c r="A179" s="16"/>
      <c r="B179" s="16"/>
      <c r="C179" s="13"/>
      <c r="D179" s="13"/>
      <c r="E179" s="13"/>
      <c r="F179" s="17"/>
      <c r="G179" s="17"/>
      <c r="H179" s="13"/>
      <c r="I179" s="13"/>
    </row>
    <row r="180" spans="1:9" ht="24" customHeight="1">
      <c r="A180" s="16"/>
      <c r="B180" s="16"/>
      <c r="C180" s="13"/>
      <c r="D180" s="13"/>
      <c r="E180" s="13"/>
      <c r="F180" s="17"/>
      <c r="G180" s="17"/>
      <c r="H180" s="13"/>
      <c r="I180" s="13"/>
    </row>
    <row r="181" spans="1:9" ht="24" customHeight="1">
      <c r="A181" s="16"/>
      <c r="B181" s="16"/>
      <c r="C181" s="13"/>
      <c r="D181" s="13"/>
      <c r="E181" s="13"/>
      <c r="F181" s="17"/>
      <c r="G181" s="17"/>
      <c r="H181" s="13"/>
      <c r="I181" s="13"/>
    </row>
    <row r="182" spans="1:9" ht="24" customHeight="1">
      <c r="A182" s="16"/>
      <c r="B182" s="16"/>
      <c r="C182" s="13"/>
      <c r="D182" s="13"/>
      <c r="E182" s="13"/>
      <c r="F182" s="17"/>
      <c r="G182" s="17"/>
      <c r="H182" s="13"/>
      <c r="I182" s="13"/>
    </row>
    <row r="183" spans="1:9" ht="24" customHeight="1">
      <c r="A183" s="16"/>
      <c r="B183" s="16"/>
      <c r="C183" s="13"/>
      <c r="D183" s="13"/>
      <c r="E183" s="13"/>
      <c r="F183" s="17"/>
      <c r="G183" s="17"/>
      <c r="H183" s="13"/>
      <c r="I183" s="13"/>
    </row>
    <row r="184" spans="1:9" ht="24" customHeight="1">
      <c r="A184" s="16"/>
      <c r="B184" s="16"/>
      <c r="C184" s="13"/>
      <c r="D184" s="13"/>
      <c r="E184" s="13"/>
      <c r="F184" s="17"/>
      <c r="G184" s="17"/>
      <c r="H184" s="13"/>
      <c r="I184" s="13"/>
    </row>
    <row r="185" spans="1:9" ht="24" customHeight="1">
      <c r="A185" s="16"/>
      <c r="B185" s="16"/>
      <c r="C185" s="13"/>
      <c r="D185" s="13"/>
      <c r="E185" s="13"/>
      <c r="F185" s="17"/>
      <c r="G185" s="17"/>
      <c r="H185" s="13"/>
      <c r="I185" s="13"/>
    </row>
    <row r="186" spans="1:9" ht="24" customHeight="1">
      <c r="A186" s="16"/>
      <c r="B186" s="16"/>
      <c r="C186" s="13"/>
      <c r="D186" s="13"/>
      <c r="E186" s="13"/>
      <c r="F186" s="17"/>
      <c r="G186" s="17"/>
      <c r="H186" s="13"/>
      <c r="I186" s="13"/>
    </row>
    <row r="187" spans="1:9" ht="24" customHeight="1">
      <c r="A187" s="16"/>
      <c r="B187" s="16"/>
      <c r="C187" s="13"/>
      <c r="D187" s="13"/>
      <c r="E187" s="13"/>
      <c r="F187" s="17"/>
      <c r="G187" s="17"/>
      <c r="H187" s="13"/>
      <c r="I187" s="13"/>
    </row>
    <row r="188" spans="1:9" ht="24" customHeight="1">
      <c r="A188" s="16"/>
      <c r="B188" s="16"/>
      <c r="C188" s="13"/>
      <c r="D188" s="13"/>
      <c r="E188" s="13"/>
      <c r="F188" s="17"/>
      <c r="G188" s="17"/>
      <c r="H188" s="13"/>
      <c r="I188" s="13"/>
    </row>
    <row r="189" spans="1:9" ht="24" customHeight="1">
      <c r="A189" s="16"/>
      <c r="B189" s="16"/>
      <c r="C189" s="13"/>
      <c r="D189" s="13"/>
      <c r="E189" s="13"/>
      <c r="F189" s="17"/>
      <c r="G189" s="17"/>
      <c r="H189" s="13"/>
      <c r="I189" s="13"/>
    </row>
    <row r="190" spans="1:9" ht="24" customHeight="1">
      <c r="A190" s="16"/>
      <c r="B190" s="16"/>
      <c r="C190" s="13"/>
      <c r="D190" s="13"/>
      <c r="E190" s="13"/>
      <c r="F190" s="17"/>
      <c r="G190" s="17"/>
      <c r="H190" s="13"/>
      <c r="I190" s="13"/>
    </row>
    <row r="191" spans="1:9" ht="24" customHeight="1">
      <c r="A191" s="16"/>
      <c r="B191" s="16"/>
      <c r="C191" s="13"/>
      <c r="D191" s="13"/>
      <c r="E191" s="13"/>
      <c r="F191" s="17"/>
      <c r="G191" s="17"/>
      <c r="H191" s="13"/>
      <c r="I191" s="13"/>
    </row>
    <row r="192" spans="1:9" ht="24" customHeight="1">
      <c r="A192" s="16"/>
      <c r="B192" s="16"/>
      <c r="C192" s="13"/>
      <c r="D192" s="13"/>
      <c r="E192" s="13"/>
      <c r="F192" s="17"/>
      <c r="G192" s="17"/>
      <c r="H192" s="13"/>
      <c r="I192" s="13"/>
    </row>
    <row r="193" spans="1:9" ht="24" customHeight="1">
      <c r="A193" s="16"/>
      <c r="B193" s="16"/>
      <c r="C193" s="13"/>
      <c r="D193" s="13"/>
      <c r="E193" s="13"/>
      <c r="F193" s="17"/>
      <c r="G193" s="17"/>
      <c r="H193" s="13"/>
      <c r="I193" s="13"/>
    </row>
    <row r="194" spans="1:9" ht="24" customHeight="1">
      <c r="A194" s="16"/>
      <c r="B194" s="16"/>
      <c r="C194" s="13"/>
      <c r="D194" s="13"/>
      <c r="E194" s="13"/>
      <c r="F194" s="17"/>
      <c r="G194" s="17"/>
      <c r="H194" s="13"/>
      <c r="I194" s="13"/>
    </row>
    <row r="195" spans="1:9" ht="24" customHeight="1">
      <c r="A195" s="16"/>
      <c r="B195" s="16"/>
      <c r="C195" s="13"/>
      <c r="D195" s="13"/>
      <c r="E195" s="13"/>
      <c r="F195" s="17"/>
      <c r="G195" s="17"/>
      <c r="H195" s="13"/>
      <c r="I195" s="13"/>
    </row>
    <row r="196" spans="1:9" ht="24" customHeight="1">
      <c r="A196" s="16"/>
      <c r="B196" s="16"/>
      <c r="C196" s="13"/>
      <c r="D196" s="13"/>
      <c r="E196" s="13"/>
      <c r="F196" s="17"/>
      <c r="G196" s="17"/>
      <c r="H196" s="13"/>
      <c r="I196" s="13"/>
    </row>
    <row r="197" spans="1:9" ht="24" customHeight="1">
      <c r="A197" s="16"/>
      <c r="B197" s="16"/>
      <c r="C197" s="13"/>
      <c r="D197" s="13"/>
      <c r="E197" s="13"/>
      <c r="F197" s="17"/>
      <c r="G197" s="17"/>
      <c r="H197" s="13"/>
      <c r="I197" s="13"/>
    </row>
    <row r="198" spans="1:9" ht="24" customHeight="1">
      <c r="A198" s="16"/>
      <c r="B198" s="16"/>
      <c r="C198" s="13"/>
      <c r="D198" s="13"/>
      <c r="E198" s="13"/>
      <c r="F198" s="17"/>
      <c r="G198" s="17"/>
      <c r="H198" s="13"/>
      <c r="I198" s="13"/>
    </row>
    <row r="199" spans="1:9" ht="24" customHeight="1">
      <c r="A199" s="16"/>
      <c r="B199" s="16"/>
      <c r="C199" s="13"/>
      <c r="D199" s="13"/>
      <c r="E199" s="13"/>
      <c r="F199" s="17"/>
      <c r="G199" s="17"/>
      <c r="H199" s="13"/>
      <c r="I199" s="13"/>
    </row>
    <row r="200" spans="1:9" ht="24" customHeight="1">
      <c r="A200" s="16"/>
      <c r="B200" s="16"/>
      <c r="C200" s="13"/>
      <c r="D200" s="13"/>
      <c r="E200" s="13"/>
      <c r="F200" s="17"/>
      <c r="G200" s="17"/>
      <c r="H200" s="13"/>
      <c r="I200" s="13"/>
    </row>
    <row r="201" spans="1:9" ht="24" customHeight="1">
      <c r="A201" s="16"/>
      <c r="B201" s="16"/>
      <c r="C201" s="13"/>
      <c r="D201" s="13"/>
      <c r="E201" s="13"/>
      <c r="F201" s="17"/>
      <c r="G201" s="17"/>
      <c r="H201" s="13"/>
      <c r="I201" s="13"/>
    </row>
    <row r="202" spans="1:9" ht="24" customHeight="1">
      <c r="A202" s="16"/>
      <c r="B202" s="16"/>
      <c r="C202" s="13"/>
      <c r="D202" s="13"/>
      <c r="E202" s="13"/>
      <c r="F202" s="17"/>
      <c r="G202" s="17"/>
      <c r="H202" s="13"/>
      <c r="I202" s="13"/>
    </row>
    <row r="203" spans="1:9" ht="24" customHeight="1">
      <c r="A203" s="16"/>
      <c r="B203" s="16"/>
      <c r="C203" s="13"/>
      <c r="D203" s="13"/>
      <c r="E203" s="13"/>
      <c r="F203" s="17"/>
      <c r="G203" s="17"/>
      <c r="H203" s="13"/>
      <c r="I203" s="13"/>
    </row>
    <row r="204" spans="1:9" ht="24" customHeight="1">
      <c r="A204" s="16"/>
      <c r="B204" s="16"/>
      <c r="C204" s="13"/>
      <c r="D204" s="13"/>
      <c r="E204" s="13"/>
      <c r="F204" s="17"/>
      <c r="G204" s="17"/>
      <c r="H204" s="13"/>
      <c r="I204" s="13"/>
    </row>
    <row r="205" spans="1:9" ht="24" customHeight="1">
      <c r="A205" s="16"/>
      <c r="B205" s="16"/>
      <c r="C205" s="13"/>
      <c r="D205" s="13"/>
      <c r="E205" s="13"/>
      <c r="F205" s="17"/>
      <c r="G205" s="17"/>
      <c r="H205" s="13"/>
      <c r="I205" s="13"/>
    </row>
    <row r="206" spans="1:9" ht="24" customHeight="1">
      <c r="A206" s="16"/>
      <c r="B206" s="16"/>
      <c r="C206" s="13"/>
      <c r="D206" s="13"/>
      <c r="E206" s="13"/>
      <c r="F206" s="17"/>
      <c r="G206" s="17"/>
      <c r="H206" s="13"/>
      <c r="I206" s="13"/>
    </row>
    <row r="207" spans="1:9" ht="24" customHeight="1">
      <c r="A207" s="16"/>
      <c r="B207" s="16"/>
      <c r="C207" s="13"/>
      <c r="D207" s="13"/>
      <c r="E207" s="13"/>
      <c r="F207" s="17"/>
      <c r="G207" s="17"/>
      <c r="H207" s="13"/>
      <c r="I207" s="13"/>
    </row>
    <row r="208" spans="1:9" ht="24" customHeight="1">
      <c r="A208" s="16"/>
      <c r="B208" s="16"/>
      <c r="C208" s="13"/>
      <c r="D208" s="13"/>
      <c r="E208" s="13"/>
      <c r="F208" s="17"/>
      <c r="G208" s="17"/>
      <c r="H208" s="13"/>
      <c r="I208" s="13"/>
    </row>
    <row r="209" spans="1:9" ht="24" customHeight="1">
      <c r="A209" s="16"/>
      <c r="B209" s="16"/>
      <c r="C209" s="13"/>
      <c r="D209" s="13"/>
      <c r="E209" s="13"/>
      <c r="F209" s="17"/>
      <c r="G209" s="17"/>
      <c r="H209" s="13"/>
      <c r="I209" s="13"/>
    </row>
    <row r="210" spans="1:9" ht="24" customHeight="1">
      <c r="A210" s="16"/>
      <c r="B210" s="16"/>
      <c r="C210" s="13"/>
      <c r="D210" s="13"/>
      <c r="E210" s="13"/>
      <c r="F210" s="17"/>
      <c r="G210" s="17"/>
      <c r="H210" s="13"/>
      <c r="I210" s="13"/>
    </row>
    <row r="211" spans="1:9" ht="24" customHeight="1">
      <c r="A211" s="16"/>
      <c r="B211" s="16"/>
      <c r="C211" s="13"/>
      <c r="D211" s="13"/>
      <c r="E211" s="13"/>
      <c r="F211" s="17"/>
      <c r="G211" s="17"/>
      <c r="H211" s="13"/>
      <c r="I211" s="13"/>
    </row>
    <row r="212" spans="1:9" ht="24" customHeight="1">
      <c r="A212" s="16"/>
      <c r="B212" s="16"/>
      <c r="C212" s="13"/>
      <c r="D212" s="13"/>
      <c r="E212" s="13"/>
      <c r="F212" s="17"/>
      <c r="G212" s="17"/>
      <c r="H212" s="13"/>
      <c r="I212" s="13"/>
    </row>
  </sheetData>
  <mergeCells count="13">
    <mergeCell ref="A9:D9"/>
    <mergeCell ref="E9:I9"/>
    <mergeCell ref="A6:D6"/>
    <mergeCell ref="E6:I6"/>
    <mergeCell ref="A7:D7"/>
    <mergeCell ref="E7:I7"/>
    <mergeCell ref="A8:I8"/>
    <mergeCell ref="A2:I2"/>
    <mergeCell ref="A3:I3"/>
    <mergeCell ref="A4:D4"/>
    <mergeCell ref="E4:I4"/>
    <mergeCell ref="A5:D5"/>
    <mergeCell ref="E5:I5"/>
  </mergeCells>
  <conditionalFormatting sqref="A13:A212">
    <cfRule type="expression" dxfId="11" priority="1">
      <formula>AND(A13&lt;&gt;"",COUNTIFS($A$13:$A$212,A13)&gt;1)</formula>
    </cfRule>
  </conditionalFormatting>
  <dataValidations count="2">
    <dataValidation type="list" allowBlank="1" showErrorMessage="1" errorTitle="Select a listed value" error="Use the dropdown. Project lists can be adapted in Lists or H_Status_Codes." sqref="D13:D212" ns2:uid="{00000000-0002-0000-0200-000000000000}">
      <formula1>Disciplines</formula1>
    </dataValidation>
    <dataValidation type="list" allowBlank="1" showErrorMessage="1" errorTitle="Select a listed value" error="Use the dropdown. Project lists can be adapted in Lists or H_Status_Codes." sqref="H13:H212" ns2:uid="{00000000-0002-0000-0200-000001000000}">
      <formula1>PackageStatuses</formula1>
    </dataValidation>
  </dataValidation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300-000000000000}">
  <sheetPr>
    <tabColor rgb="FF2B6E9F"/>
    <pageSetUpPr fitToPage="1"/>
  </sheetPr>
  <dimension ref="A1:K312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23" customWidth="1"/>
    <col min="2" max="2" width="36" customWidth="1"/>
    <col min="3" max="3" width="38" customWidth="1"/>
    <col min="4" max="4" width="43" customWidth="1"/>
    <col min="5" max="5" width="38" customWidth="1"/>
    <col min="6" max="6" width="28" customWidth="1"/>
    <col min="7" max="7" width="27" customWidth="1"/>
    <col min="8" max="8" width="20" customWidth="1"/>
    <col min="9" max="9" width="15" customWidth="1"/>
    <col min="10" max="10" width="28" customWidth="1"/>
    <col min="11" max="11" width="50" customWidth="1"/>
  </cols>
  <sheetData>
    <row r="1" spans="1:11" ht="9.949999999999999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>
      <c r="A2" s="27" t="s">
        <v>110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0.100000000000001" customHeight="1">
      <c r="A3" s="28" t="s">
        <v>66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/>
      <c r="D4" s="29"/>
      <c r="E4" s="29"/>
      <c r="F4" s="29" t="str">
        <f>"Project ID: "&amp;IF('00_Project'!$B$7="","",'00_Project'!$B$7)</f>
        <v xml:space="preserve">Project ID: </v>
      </c>
      <c r="G4" s="29"/>
      <c r="H4" s="29"/>
      <c r="I4" s="29"/>
      <c r="J4" s="29"/>
      <c r="K4" s="29"/>
    </row>
    <row r="5" spans="1:11" ht="26.1" customHeight="1">
      <c r="A5" s="29" t="str">
        <f>"Client / Owner: "&amp;IF('00_Project'!$B$8="","",'00_Project'!$B$8)</f>
        <v xml:space="preserve">Client / Owner: </v>
      </c>
      <c r="B5" s="29"/>
      <c r="C5" s="29"/>
      <c r="D5" s="29"/>
      <c r="E5" s="29"/>
      <c r="F5" s="29" t="str">
        <f>"Contractor: "&amp;IF('00_Project'!$B$9="","",'00_Project'!$B$9)</f>
        <v xml:space="preserve">Contractor: </v>
      </c>
      <c r="G5" s="29"/>
      <c r="H5" s="29"/>
      <c r="I5" s="29"/>
      <c r="J5" s="29"/>
      <c r="K5" s="29"/>
    </row>
    <row r="6" spans="1:11" ht="26.1" customHeight="1">
      <c r="A6" s="29" t="str">
        <f>"Project document ID: "&amp;IF('00_Project'!$B$11="","",'00_Project'!$B$11)</f>
        <v xml:space="preserve">Project document ID: </v>
      </c>
      <c r="B6" s="29"/>
      <c r="C6" s="29"/>
      <c r="D6" s="29"/>
      <c r="E6" s="29"/>
      <c r="F6" s="29" t="str">
        <f>"Project revision: "&amp;IF('00_Project'!$B$12="","",'00_Project'!$B$12)</f>
        <v xml:space="preserve">Project revision: </v>
      </c>
      <c r="G6" s="29"/>
      <c r="H6" s="29"/>
      <c r="I6" s="29"/>
      <c r="J6" s="29"/>
      <c r="K6" s="29"/>
    </row>
    <row r="7" spans="1:11" ht="24" customHeight="1">
      <c r="A7" s="30" t="str">
        <f>"Document status: "&amp;IF('00_Project'!$B$13="","",'00_Project'!$B$13)</f>
        <v>Document status: Draft</v>
      </c>
      <c r="B7" s="30"/>
      <c r="C7" s="30"/>
      <c r="D7" s="30"/>
      <c r="E7" s="30"/>
      <c r="F7" s="30" t="str">
        <f>"Issue date: "&amp;IF('00_Project'!$B$17="","",TEXT('00_Project'!$B$17,"dd-mmm-yyyy"))</f>
        <v xml:space="preserve">Issue date: </v>
      </c>
      <c r="G7" s="30"/>
      <c r="H7" s="30"/>
      <c r="I7" s="30"/>
      <c r="J7" s="30"/>
      <c r="K7" s="30"/>
    </row>
    <row r="8" spans="1:11" ht="42" customHeight="1">
      <c r="A8" s="25" t="str">
        <v>One row per deliverable. Record its unique controlled reference and linked record IDs / revisions in Comment / N/A approval or a linked register (Section 7.2). Identify requirement revision and clause/activity. Record approved N/A dispositions.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1" ht="26.1" customHeight="1">
      <c r="A9" s="29" t="str">
        <f>"Prepared by: "&amp;IF('00_Project'!$B$14="","",'00_Project'!$B$14)</f>
        <v xml:space="preserve">Prepared by: </v>
      </c>
      <c r="B9" s="29"/>
      <c r="C9" s="29"/>
      <c r="D9" s="29"/>
      <c r="E9" s="29"/>
      <c r="F9" s="29" t="str">
        <f>"Reviewed by: "&amp;IF('00_Project'!$B$15="","",'00_Project'!$B$15)&amp;" / Approved by: "&amp;IF('00_Project'!$B$16="","",'00_Project'!$B$16)</f>
        <v xml:space="preserve">Reviewed by:  / Approved by: </v>
      </c>
      <c r="G9" s="29"/>
      <c r="H9" s="29"/>
      <c r="I9" s="29"/>
      <c r="J9" s="29"/>
      <c r="K9" s="29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9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42" customHeight="1">
      <c r="A12" s="14" t="s">
        <v>101</v>
      </c>
      <c r="B12" s="14" t="s">
        <v>112</v>
      </c>
      <c r="C12" s="14" t="s">
        <v>113</v>
      </c>
      <c r="D12" s="14" t="s">
        <v>114</v>
      </c>
      <c r="E12" s="14" t="s">
        <v>115</v>
      </c>
      <c r="F12" s="14" t="s">
        <v>116</v>
      </c>
      <c r="G12" s="14" t="s">
        <v>117</v>
      </c>
      <c r="H12" s="14" t="s">
        <v>118</v>
      </c>
      <c r="I12" s="14" t="s">
        <v>119</v>
      </c>
      <c r="J12" s="14" t="s">
        <v>108</v>
      </c>
      <c r="K12" s="14" t="s">
        <v>120</v>
      </c>
    </row>
    <row r="13" spans="1:11" ht="24" customHeight="1">
      <c r="A13" s="13"/>
      <c r="B13" s="13"/>
      <c r="C13" s="13"/>
      <c r="D13" s="13"/>
      <c r="E13" s="13"/>
      <c r="F13" s="13"/>
      <c r="G13" s="13"/>
      <c r="H13" s="17"/>
      <c r="I13" s="13"/>
      <c r="J13" s="13"/>
      <c r="K13" s="13"/>
    </row>
    <row r="14" spans="1:11" ht="24" customHeight="1">
      <c r="A14" s="13"/>
      <c r="B14" s="13"/>
      <c r="C14" s="13"/>
      <c r="D14" s="13"/>
      <c r="E14" s="13"/>
      <c r="F14" s="13"/>
      <c r="G14" s="13"/>
      <c r="H14" s="17"/>
      <c r="I14" s="13"/>
      <c r="J14" s="13"/>
      <c r="K14" s="13"/>
    </row>
    <row r="15" spans="1:11" ht="24" customHeight="1">
      <c r="A15" s="13"/>
      <c r="B15" s="13"/>
      <c r="C15" s="13"/>
      <c r="D15" s="13"/>
      <c r="E15" s="13"/>
      <c r="F15" s="13"/>
      <c r="G15" s="13"/>
      <c r="H15" s="17"/>
      <c r="I15" s="13"/>
      <c r="J15" s="13"/>
      <c r="K15" s="13"/>
    </row>
    <row r="16" spans="1:11" ht="24" customHeight="1">
      <c r="A16" s="13"/>
      <c r="B16" s="13"/>
      <c r="C16" s="13"/>
      <c r="D16" s="13"/>
      <c r="E16" s="13"/>
      <c r="F16" s="13"/>
      <c r="G16" s="13"/>
      <c r="H16" s="17"/>
      <c r="I16" s="13"/>
      <c r="J16" s="13"/>
      <c r="K16" s="13"/>
    </row>
    <row r="17" spans="1:11" ht="24" customHeight="1">
      <c r="A17" s="13"/>
      <c r="B17" s="13"/>
      <c r="C17" s="13"/>
      <c r="D17" s="13"/>
      <c r="E17" s="13"/>
      <c r="F17" s="13"/>
      <c r="G17" s="13"/>
      <c r="H17" s="17"/>
      <c r="I17" s="13"/>
      <c r="J17" s="13"/>
      <c r="K17" s="13"/>
    </row>
    <row r="18" spans="1:11" ht="24" customHeight="1">
      <c r="A18" s="13"/>
      <c r="B18" s="13"/>
      <c r="C18" s="13"/>
      <c r="D18" s="13"/>
      <c r="E18" s="13"/>
      <c r="F18" s="13"/>
      <c r="G18" s="13"/>
      <c r="H18" s="17"/>
      <c r="I18" s="13"/>
      <c r="J18" s="13"/>
      <c r="K18" s="13"/>
    </row>
    <row r="19" spans="1:11" ht="24" customHeight="1">
      <c r="A19" s="13"/>
      <c r="B19" s="13"/>
      <c r="C19" s="13"/>
      <c r="D19" s="13"/>
      <c r="E19" s="13"/>
      <c r="F19" s="13"/>
      <c r="G19" s="13"/>
      <c r="H19" s="17"/>
      <c r="I19" s="13"/>
      <c r="J19" s="13"/>
      <c r="K19" s="13"/>
    </row>
    <row r="20" spans="1:11" ht="24" customHeight="1">
      <c r="A20" s="13"/>
      <c r="B20" s="13"/>
      <c r="C20" s="13"/>
      <c r="D20" s="13"/>
      <c r="E20" s="13"/>
      <c r="F20" s="13"/>
      <c r="G20" s="13"/>
      <c r="H20" s="17"/>
      <c r="I20" s="13"/>
      <c r="J20" s="13"/>
      <c r="K20" s="13"/>
    </row>
    <row r="21" spans="1:11" ht="24" customHeight="1">
      <c r="A21" s="13"/>
      <c r="B21" s="13"/>
      <c r="C21" s="13"/>
      <c r="D21" s="13"/>
      <c r="E21" s="13"/>
      <c r="F21" s="13"/>
      <c r="G21" s="13"/>
      <c r="H21" s="17"/>
      <c r="I21" s="13"/>
      <c r="J21" s="13"/>
      <c r="K21" s="13"/>
    </row>
    <row r="22" spans="1:11" ht="24" customHeight="1">
      <c r="A22" s="13"/>
      <c r="B22" s="13"/>
      <c r="C22" s="13"/>
      <c r="D22" s="13"/>
      <c r="E22" s="13"/>
      <c r="F22" s="13"/>
      <c r="G22" s="13"/>
      <c r="H22" s="17"/>
      <c r="I22" s="13"/>
      <c r="J22" s="13"/>
      <c r="K22" s="13"/>
    </row>
    <row r="23" spans="1:11" ht="24" customHeight="1">
      <c r="A23" s="13"/>
      <c r="B23" s="13"/>
      <c r="C23" s="13"/>
      <c r="D23" s="13"/>
      <c r="E23" s="13"/>
      <c r="F23" s="13"/>
      <c r="G23" s="13"/>
      <c r="H23" s="17"/>
      <c r="I23" s="13"/>
      <c r="J23" s="13"/>
      <c r="K23" s="13"/>
    </row>
    <row r="24" spans="1:11" ht="24" customHeight="1">
      <c r="A24" s="13"/>
      <c r="B24" s="13"/>
      <c r="C24" s="13"/>
      <c r="D24" s="13"/>
      <c r="E24" s="13"/>
      <c r="F24" s="13"/>
      <c r="G24" s="13"/>
      <c r="H24" s="17"/>
      <c r="I24" s="13"/>
      <c r="J24" s="13"/>
      <c r="K24" s="13"/>
    </row>
    <row r="25" spans="1:11" ht="24" customHeight="1">
      <c r="A25" s="13"/>
      <c r="B25" s="13"/>
      <c r="C25" s="13"/>
      <c r="D25" s="13"/>
      <c r="E25" s="13"/>
      <c r="F25" s="13"/>
      <c r="G25" s="13"/>
      <c r="H25" s="17"/>
      <c r="I25" s="13"/>
      <c r="J25" s="13"/>
      <c r="K25" s="13"/>
    </row>
    <row r="26" spans="1:11" ht="24" customHeight="1">
      <c r="A26" s="13"/>
      <c r="B26" s="13"/>
      <c r="C26" s="13"/>
      <c r="D26" s="13"/>
      <c r="E26" s="13"/>
      <c r="F26" s="13"/>
      <c r="G26" s="13"/>
      <c r="H26" s="17"/>
      <c r="I26" s="13"/>
      <c r="J26" s="13"/>
      <c r="K26" s="13"/>
    </row>
    <row r="27" spans="1:11" ht="24" customHeight="1">
      <c r="A27" s="13"/>
      <c r="B27" s="13"/>
      <c r="C27" s="13"/>
      <c r="D27" s="13"/>
      <c r="E27" s="13"/>
      <c r="F27" s="13"/>
      <c r="G27" s="13"/>
      <c r="H27" s="17"/>
      <c r="I27" s="13"/>
      <c r="J27" s="13"/>
      <c r="K27" s="13"/>
    </row>
    <row r="28" spans="1:11" ht="24" customHeight="1">
      <c r="A28" s="13"/>
      <c r="B28" s="13"/>
      <c r="C28" s="13"/>
      <c r="D28" s="13"/>
      <c r="E28" s="13"/>
      <c r="F28" s="13"/>
      <c r="G28" s="13"/>
      <c r="H28" s="17"/>
      <c r="I28" s="13"/>
      <c r="J28" s="13"/>
      <c r="K28" s="13"/>
    </row>
    <row r="29" spans="1:11" ht="24" customHeight="1">
      <c r="A29" s="13"/>
      <c r="B29" s="13"/>
      <c r="C29" s="13"/>
      <c r="D29" s="13"/>
      <c r="E29" s="13"/>
      <c r="F29" s="13"/>
      <c r="G29" s="13"/>
      <c r="H29" s="17"/>
      <c r="I29" s="13"/>
      <c r="J29" s="13"/>
      <c r="K29" s="13"/>
    </row>
    <row r="30" spans="1:11" ht="24" customHeight="1">
      <c r="A30" s="13"/>
      <c r="B30" s="13"/>
      <c r="C30" s="13"/>
      <c r="D30" s="13"/>
      <c r="E30" s="13"/>
      <c r="F30" s="13"/>
      <c r="G30" s="13"/>
      <c r="H30" s="17"/>
      <c r="I30" s="13"/>
      <c r="J30" s="13"/>
      <c r="K30" s="13"/>
    </row>
    <row r="31" spans="1:11" ht="24" customHeight="1">
      <c r="A31" s="13"/>
      <c r="B31" s="13"/>
      <c r="C31" s="13"/>
      <c r="D31" s="13"/>
      <c r="E31" s="13"/>
      <c r="F31" s="13"/>
      <c r="G31" s="13"/>
      <c r="H31" s="17"/>
      <c r="I31" s="13"/>
      <c r="J31" s="13"/>
      <c r="K31" s="13"/>
    </row>
    <row r="32" spans="1:11" ht="24" customHeight="1">
      <c r="A32" s="13"/>
      <c r="B32" s="13"/>
      <c r="C32" s="13"/>
      <c r="D32" s="13"/>
      <c r="E32" s="13"/>
      <c r="F32" s="13"/>
      <c r="G32" s="13"/>
      <c r="H32" s="17"/>
      <c r="I32" s="13"/>
      <c r="J32" s="13"/>
      <c r="K32" s="13"/>
    </row>
    <row r="33" spans="1:11" ht="24" customHeight="1">
      <c r="A33" s="13"/>
      <c r="B33" s="13"/>
      <c r="C33" s="13"/>
      <c r="D33" s="13"/>
      <c r="E33" s="13"/>
      <c r="F33" s="13"/>
      <c r="G33" s="13"/>
      <c r="H33" s="17"/>
      <c r="I33" s="13"/>
      <c r="J33" s="13"/>
      <c r="K33" s="13"/>
    </row>
    <row r="34" spans="1:11" ht="24" customHeight="1">
      <c r="A34" s="13"/>
      <c r="B34" s="13"/>
      <c r="C34" s="13"/>
      <c r="D34" s="13"/>
      <c r="E34" s="13"/>
      <c r="F34" s="13"/>
      <c r="G34" s="13"/>
      <c r="H34" s="17"/>
      <c r="I34" s="13"/>
      <c r="J34" s="13"/>
      <c r="K34" s="13"/>
    </row>
    <row r="35" spans="1:11" ht="24" customHeight="1">
      <c r="A35" s="13"/>
      <c r="B35" s="13"/>
      <c r="C35" s="13"/>
      <c r="D35" s="13"/>
      <c r="E35" s="13"/>
      <c r="F35" s="13"/>
      <c r="G35" s="13"/>
      <c r="H35" s="17"/>
      <c r="I35" s="13"/>
      <c r="J35" s="13"/>
      <c r="K35" s="13"/>
    </row>
    <row r="36" spans="1:11" ht="24" customHeight="1">
      <c r="A36" s="13"/>
      <c r="B36" s="13"/>
      <c r="C36" s="13"/>
      <c r="D36" s="13"/>
      <c r="E36" s="13"/>
      <c r="F36" s="13"/>
      <c r="G36" s="13"/>
      <c r="H36" s="17"/>
      <c r="I36" s="13"/>
      <c r="J36" s="13"/>
      <c r="K36" s="13"/>
    </row>
    <row r="37" spans="1:11" ht="24" customHeight="1">
      <c r="A37" s="13"/>
      <c r="B37" s="13"/>
      <c r="C37" s="13"/>
      <c r="D37" s="13"/>
      <c r="E37" s="13"/>
      <c r="F37" s="13"/>
      <c r="G37" s="13"/>
      <c r="H37" s="17"/>
      <c r="I37" s="13"/>
      <c r="J37" s="13"/>
      <c r="K37" s="13"/>
    </row>
    <row r="38" spans="1:11" ht="24" customHeight="1">
      <c r="A38" s="13"/>
      <c r="B38" s="13"/>
      <c r="C38" s="13"/>
      <c r="D38" s="13"/>
      <c r="E38" s="13"/>
      <c r="F38" s="13"/>
      <c r="G38" s="13"/>
      <c r="H38" s="17"/>
      <c r="I38" s="13"/>
      <c r="J38" s="13"/>
      <c r="K38" s="13"/>
    </row>
    <row r="39" spans="1:11" ht="24" customHeight="1">
      <c r="A39" s="13"/>
      <c r="B39" s="13"/>
      <c r="C39" s="13"/>
      <c r="D39" s="13"/>
      <c r="E39" s="13"/>
      <c r="F39" s="13"/>
      <c r="G39" s="13"/>
      <c r="H39" s="17"/>
      <c r="I39" s="13"/>
      <c r="J39" s="13"/>
      <c r="K39" s="13"/>
    </row>
    <row r="40" spans="1:11" ht="24" customHeight="1">
      <c r="A40" s="13"/>
      <c r="B40" s="13"/>
      <c r="C40" s="13"/>
      <c r="D40" s="13"/>
      <c r="E40" s="13"/>
      <c r="F40" s="13"/>
      <c r="G40" s="13"/>
      <c r="H40" s="17"/>
      <c r="I40" s="13"/>
      <c r="J40" s="13"/>
      <c r="K40" s="13"/>
    </row>
    <row r="41" spans="1:11" ht="24" customHeight="1">
      <c r="A41" s="13"/>
      <c r="B41" s="13"/>
      <c r="C41" s="13"/>
      <c r="D41" s="13"/>
      <c r="E41" s="13"/>
      <c r="F41" s="13"/>
      <c r="G41" s="13"/>
      <c r="H41" s="17"/>
      <c r="I41" s="13"/>
      <c r="J41" s="13"/>
      <c r="K41" s="13"/>
    </row>
    <row r="42" spans="1:11" ht="24" customHeight="1">
      <c r="A42" s="13"/>
      <c r="B42" s="13"/>
      <c r="C42" s="13"/>
      <c r="D42" s="13"/>
      <c r="E42" s="13"/>
      <c r="F42" s="13"/>
      <c r="G42" s="13"/>
      <c r="H42" s="17"/>
      <c r="I42" s="13"/>
      <c r="J42" s="13"/>
      <c r="K42" s="13"/>
    </row>
    <row r="43" spans="1:11" ht="24" customHeight="1">
      <c r="A43" s="13"/>
      <c r="B43" s="13"/>
      <c r="C43" s="13"/>
      <c r="D43" s="13"/>
      <c r="E43" s="13"/>
      <c r="F43" s="13"/>
      <c r="G43" s="13"/>
      <c r="H43" s="17"/>
      <c r="I43" s="13"/>
      <c r="J43" s="13"/>
      <c r="K43" s="13"/>
    </row>
    <row r="44" spans="1:11" ht="24" customHeight="1">
      <c r="A44" s="13"/>
      <c r="B44" s="13"/>
      <c r="C44" s="13"/>
      <c r="D44" s="13"/>
      <c r="E44" s="13"/>
      <c r="F44" s="13"/>
      <c r="G44" s="13"/>
      <c r="H44" s="17"/>
      <c r="I44" s="13"/>
      <c r="J44" s="13"/>
      <c r="K44" s="13"/>
    </row>
    <row r="45" spans="1:11" ht="24" customHeight="1">
      <c r="A45" s="13"/>
      <c r="B45" s="13"/>
      <c r="C45" s="13"/>
      <c r="D45" s="13"/>
      <c r="E45" s="13"/>
      <c r="F45" s="13"/>
      <c r="G45" s="13"/>
      <c r="H45" s="17"/>
      <c r="I45" s="13"/>
      <c r="J45" s="13"/>
      <c r="K45" s="13"/>
    </row>
    <row r="46" spans="1:11" ht="24" customHeight="1">
      <c r="A46" s="13"/>
      <c r="B46" s="13"/>
      <c r="C46" s="13"/>
      <c r="D46" s="13"/>
      <c r="E46" s="13"/>
      <c r="F46" s="13"/>
      <c r="G46" s="13"/>
      <c r="H46" s="17"/>
      <c r="I46" s="13"/>
      <c r="J46" s="13"/>
      <c r="K46" s="13"/>
    </row>
    <row r="47" spans="1:11" ht="24" customHeight="1">
      <c r="A47" s="13"/>
      <c r="B47" s="13"/>
      <c r="C47" s="13"/>
      <c r="D47" s="13"/>
      <c r="E47" s="13"/>
      <c r="F47" s="13"/>
      <c r="G47" s="13"/>
      <c r="H47" s="17"/>
      <c r="I47" s="13"/>
      <c r="J47" s="13"/>
      <c r="K47" s="13"/>
    </row>
    <row r="48" spans="1:11" ht="24" customHeight="1">
      <c r="A48" s="13"/>
      <c r="B48" s="13"/>
      <c r="C48" s="13"/>
      <c r="D48" s="13"/>
      <c r="E48" s="13"/>
      <c r="F48" s="13"/>
      <c r="G48" s="13"/>
      <c r="H48" s="17"/>
      <c r="I48" s="13"/>
      <c r="J48" s="13"/>
      <c r="K48" s="13"/>
    </row>
    <row r="49" spans="1:11" ht="24" customHeight="1">
      <c r="A49" s="13"/>
      <c r="B49" s="13"/>
      <c r="C49" s="13"/>
      <c r="D49" s="13"/>
      <c r="E49" s="13"/>
      <c r="F49" s="13"/>
      <c r="G49" s="13"/>
      <c r="H49" s="17"/>
      <c r="I49" s="13"/>
      <c r="J49" s="13"/>
      <c r="K49" s="13"/>
    </row>
    <row r="50" spans="1:11" ht="24" customHeight="1">
      <c r="A50" s="13"/>
      <c r="B50" s="13"/>
      <c r="C50" s="13"/>
      <c r="D50" s="13"/>
      <c r="E50" s="13"/>
      <c r="F50" s="13"/>
      <c r="G50" s="13"/>
      <c r="H50" s="17"/>
      <c r="I50" s="13"/>
      <c r="J50" s="13"/>
      <c r="K50" s="13"/>
    </row>
    <row r="51" spans="1:11" ht="24" customHeight="1">
      <c r="A51" s="13"/>
      <c r="B51" s="13"/>
      <c r="C51" s="13"/>
      <c r="D51" s="13"/>
      <c r="E51" s="13"/>
      <c r="F51" s="13"/>
      <c r="G51" s="13"/>
      <c r="H51" s="17"/>
      <c r="I51" s="13"/>
      <c r="J51" s="13"/>
      <c r="K51" s="13"/>
    </row>
    <row r="52" spans="1:11" ht="24" customHeight="1">
      <c r="A52" s="13"/>
      <c r="B52" s="13"/>
      <c r="C52" s="13"/>
      <c r="D52" s="13"/>
      <c r="E52" s="13"/>
      <c r="F52" s="13"/>
      <c r="G52" s="13"/>
      <c r="H52" s="17"/>
      <c r="I52" s="13"/>
      <c r="J52" s="13"/>
      <c r="K52" s="13"/>
    </row>
    <row r="53" spans="1:11" ht="24" customHeight="1">
      <c r="A53" s="13"/>
      <c r="B53" s="13"/>
      <c r="C53" s="13"/>
      <c r="D53" s="13"/>
      <c r="E53" s="13"/>
      <c r="F53" s="13"/>
      <c r="G53" s="13"/>
      <c r="H53" s="17"/>
      <c r="I53" s="13"/>
      <c r="J53" s="13"/>
      <c r="K53" s="13"/>
    </row>
    <row r="54" spans="1:11" ht="24" customHeight="1">
      <c r="A54" s="13"/>
      <c r="B54" s="13"/>
      <c r="C54" s="13"/>
      <c r="D54" s="13"/>
      <c r="E54" s="13"/>
      <c r="F54" s="13"/>
      <c r="G54" s="13"/>
      <c r="H54" s="17"/>
      <c r="I54" s="13"/>
      <c r="J54" s="13"/>
      <c r="K54" s="13"/>
    </row>
    <row r="55" spans="1:11" ht="24" customHeight="1">
      <c r="A55" s="13"/>
      <c r="B55" s="13"/>
      <c r="C55" s="13"/>
      <c r="D55" s="13"/>
      <c r="E55" s="13"/>
      <c r="F55" s="13"/>
      <c r="G55" s="13"/>
      <c r="H55" s="17"/>
      <c r="I55" s="13"/>
      <c r="J55" s="13"/>
      <c r="K55" s="13"/>
    </row>
    <row r="56" spans="1:11" ht="24" customHeight="1">
      <c r="A56" s="13"/>
      <c r="B56" s="13"/>
      <c r="C56" s="13"/>
      <c r="D56" s="13"/>
      <c r="E56" s="13"/>
      <c r="F56" s="13"/>
      <c r="G56" s="13"/>
      <c r="H56" s="17"/>
      <c r="I56" s="13"/>
      <c r="J56" s="13"/>
      <c r="K56" s="13"/>
    </row>
    <row r="57" spans="1:11" ht="24" customHeight="1">
      <c r="A57" s="13"/>
      <c r="B57" s="13"/>
      <c r="C57" s="13"/>
      <c r="D57" s="13"/>
      <c r="E57" s="13"/>
      <c r="F57" s="13"/>
      <c r="G57" s="13"/>
      <c r="H57" s="17"/>
      <c r="I57" s="13"/>
      <c r="J57" s="13"/>
      <c r="K57" s="13"/>
    </row>
    <row r="58" spans="1:11" ht="24" customHeight="1">
      <c r="A58" s="13"/>
      <c r="B58" s="13"/>
      <c r="C58" s="13"/>
      <c r="D58" s="13"/>
      <c r="E58" s="13"/>
      <c r="F58" s="13"/>
      <c r="G58" s="13"/>
      <c r="H58" s="17"/>
      <c r="I58" s="13"/>
      <c r="J58" s="13"/>
      <c r="K58" s="13"/>
    </row>
    <row r="59" spans="1:11" ht="24" customHeight="1">
      <c r="A59" s="13"/>
      <c r="B59" s="13"/>
      <c r="C59" s="13"/>
      <c r="D59" s="13"/>
      <c r="E59" s="13"/>
      <c r="F59" s="13"/>
      <c r="G59" s="13"/>
      <c r="H59" s="17"/>
      <c r="I59" s="13"/>
      <c r="J59" s="13"/>
      <c r="K59" s="13"/>
    </row>
    <row r="60" spans="1:11" ht="24" customHeight="1">
      <c r="A60" s="13"/>
      <c r="B60" s="13"/>
      <c r="C60" s="13"/>
      <c r="D60" s="13"/>
      <c r="E60" s="13"/>
      <c r="F60" s="13"/>
      <c r="G60" s="13"/>
      <c r="H60" s="17"/>
      <c r="I60" s="13"/>
      <c r="J60" s="13"/>
      <c r="K60" s="13"/>
    </row>
    <row r="61" spans="1:11" ht="24" customHeight="1">
      <c r="A61" s="13"/>
      <c r="B61" s="13"/>
      <c r="C61" s="13"/>
      <c r="D61" s="13"/>
      <c r="E61" s="13"/>
      <c r="F61" s="13"/>
      <c r="G61" s="13"/>
      <c r="H61" s="17"/>
      <c r="I61" s="13"/>
      <c r="J61" s="13"/>
      <c r="K61" s="13"/>
    </row>
    <row r="62" spans="1:11" ht="24" customHeight="1">
      <c r="A62" s="13"/>
      <c r="B62" s="13"/>
      <c r="C62" s="13"/>
      <c r="D62" s="13"/>
      <c r="E62" s="13"/>
      <c r="F62" s="13"/>
      <c r="G62" s="13"/>
      <c r="H62" s="17"/>
      <c r="I62" s="13"/>
      <c r="J62" s="13"/>
      <c r="K62" s="13"/>
    </row>
    <row r="63" spans="1:11" ht="24" customHeight="1">
      <c r="A63" s="13"/>
      <c r="B63" s="13"/>
      <c r="C63" s="13"/>
      <c r="D63" s="13"/>
      <c r="E63" s="13"/>
      <c r="F63" s="13"/>
      <c r="G63" s="13"/>
      <c r="H63" s="17"/>
      <c r="I63" s="13"/>
      <c r="J63" s="13"/>
      <c r="K63" s="13"/>
    </row>
    <row r="64" spans="1:11" ht="24" customHeight="1">
      <c r="A64" s="13"/>
      <c r="B64" s="13"/>
      <c r="C64" s="13"/>
      <c r="D64" s="13"/>
      <c r="E64" s="13"/>
      <c r="F64" s="13"/>
      <c r="G64" s="13"/>
      <c r="H64" s="17"/>
      <c r="I64" s="13"/>
      <c r="J64" s="13"/>
      <c r="K64" s="13"/>
    </row>
    <row r="65" spans="1:11" ht="24" customHeight="1">
      <c r="A65" s="13"/>
      <c r="B65" s="13"/>
      <c r="C65" s="13"/>
      <c r="D65" s="13"/>
      <c r="E65" s="13"/>
      <c r="F65" s="13"/>
      <c r="G65" s="13"/>
      <c r="H65" s="17"/>
      <c r="I65" s="13"/>
      <c r="J65" s="13"/>
      <c r="K65" s="13"/>
    </row>
    <row r="66" spans="1:11" ht="24" customHeight="1">
      <c r="A66" s="13"/>
      <c r="B66" s="13"/>
      <c r="C66" s="13"/>
      <c r="D66" s="13"/>
      <c r="E66" s="13"/>
      <c r="F66" s="13"/>
      <c r="G66" s="13"/>
      <c r="H66" s="17"/>
      <c r="I66" s="13"/>
      <c r="J66" s="13"/>
      <c r="K66" s="13"/>
    </row>
    <row r="67" spans="1:11" ht="24" customHeight="1">
      <c r="A67" s="13"/>
      <c r="B67" s="13"/>
      <c r="C67" s="13"/>
      <c r="D67" s="13"/>
      <c r="E67" s="13"/>
      <c r="F67" s="13"/>
      <c r="G67" s="13"/>
      <c r="H67" s="17"/>
      <c r="I67" s="13"/>
      <c r="J67" s="13"/>
      <c r="K67" s="13"/>
    </row>
    <row r="68" spans="1:11" ht="24" customHeight="1">
      <c r="A68" s="13"/>
      <c r="B68" s="13"/>
      <c r="C68" s="13"/>
      <c r="D68" s="13"/>
      <c r="E68" s="13"/>
      <c r="F68" s="13"/>
      <c r="G68" s="13"/>
      <c r="H68" s="17"/>
      <c r="I68" s="13"/>
      <c r="J68" s="13"/>
      <c r="K68" s="13"/>
    </row>
    <row r="69" spans="1:11" ht="24" customHeight="1">
      <c r="A69" s="13"/>
      <c r="B69" s="13"/>
      <c r="C69" s="13"/>
      <c r="D69" s="13"/>
      <c r="E69" s="13"/>
      <c r="F69" s="13"/>
      <c r="G69" s="13"/>
      <c r="H69" s="17"/>
      <c r="I69" s="13"/>
      <c r="J69" s="13"/>
      <c r="K69" s="13"/>
    </row>
    <row r="70" spans="1:11" ht="24" customHeight="1">
      <c r="A70" s="13"/>
      <c r="B70" s="13"/>
      <c r="C70" s="13"/>
      <c r="D70" s="13"/>
      <c r="E70" s="13"/>
      <c r="F70" s="13"/>
      <c r="G70" s="13"/>
      <c r="H70" s="17"/>
      <c r="I70" s="13"/>
      <c r="J70" s="13"/>
      <c r="K70" s="13"/>
    </row>
    <row r="71" spans="1:11" ht="24" customHeight="1">
      <c r="A71" s="13"/>
      <c r="B71" s="13"/>
      <c r="C71" s="13"/>
      <c r="D71" s="13"/>
      <c r="E71" s="13"/>
      <c r="F71" s="13"/>
      <c r="G71" s="13"/>
      <c r="H71" s="17"/>
      <c r="I71" s="13"/>
      <c r="J71" s="13"/>
      <c r="K71" s="13"/>
    </row>
    <row r="72" spans="1:11" ht="24" customHeight="1">
      <c r="A72" s="13"/>
      <c r="B72" s="13"/>
      <c r="C72" s="13"/>
      <c r="D72" s="13"/>
      <c r="E72" s="13"/>
      <c r="F72" s="13"/>
      <c r="G72" s="13"/>
      <c r="H72" s="17"/>
      <c r="I72" s="13"/>
      <c r="J72" s="13"/>
      <c r="K72" s="13"/>
    </row>
    <row r="73" spans="1:11" ht="24" customHeight="1">
      <c r="A73" s="13"/>
      <c r="B73" s="13"/>
      <c r="C73" s="13"/>
      <c r="D73" s="13"/>
      <c r="E73" s="13"/>
      <c r="F73" s="13"/>
      <c r="G73" s="13"/>
      <c r="H73" s="17"/>
      <c r="I73" s="13"/>
      <c r="J73" s="13"/>
      <c r="K73" s="13"/>
    </row>
    <row r="74" spans="1:11" ht="24" customHeight="1">
      <c r="A74" s="13"/>
      <c r="B74" s="13"/>
      <c r="C74" s="13"/>
      <c r="D74" s="13"/>
      <c r="E74" s="13"/>
      <c r="F74" s="13"/>
      <c r="G74" s="13"/>
      <c r="H74" s="17"/>
      <c r="I74" s="13"/>
      <c r="J74" s="13"/>
      <c r="K74" s="13"/>
    </row>
    <row r="75" spans="1:11" ht="24" customHeight="1">
      <c r="A75" s="13"/>
      <c r="B75" s="13"/>
      <c r="C75" s="13"/>
      <c r="D75" s="13"/>
      <c r="E75" s="13"/>
      <c r="F75" s="13"/>
      <c r="G75" s="13"/>
      <c r="H75" s="17"/>
      <c r="I75" s="13"/>
      <c r="J75" s="13"/>
      <c r="K75" s="13"/>
    </row>
    <row r="76" spans="1:11" ht="24" customHeight="1">
      <c r="A76" s="13"/>
      <c r="B76" s="13"/>
      <c r="C76" s="13"/>
      <c r="D76" s="13"/>
      <c r="E76" s="13"/>
      <c r="F76" s="13"/>
      <c r="G76" s="13"/>
      <c r="H76" s="17"/>
      <c r="I76" s="13"/>
      <c r="J76" s="13"/>
      <c r="K76" s="13"/>
    </row>
    <row r="77" spans="1:11" ht="24" customHeight="1">
      <c r="A77" s="13"/>
      <c r="B77" s="13"/>
      <c r="C77" s="13"/>
      <c r="D77" s="13"/>
      <c r="E77" s="13"/>
      <c r="F77" s="13"/>
      <c r="G77" s="13"/>
      <c r="H77" s="17"/>
      <c r="I77" s="13"/>
      <c r="J77" s="13"/>
      <c r="K77" s="13"/>
    </row>
    <row r="78" spans="1:11" ht="24" customHeight="1">
      <c r="A78" s="13"/>
      <c r="B78" s="13"/>
      <c r="C78" s="13"/>
      <c r="D78" s="13"/>
      <c r="E78" s="13"/>
      <c r="F78" s="13"/>
      <c r="G78" s="13"/>
      <c r="H78" s="17"/>
      <c r="I78" s="13"/>
      <c r="J78" s="13"/>
      <c r="K78" s="13"/>
    </row>
    <row r="79" spans="1:11" ht="24" customHeight="1">
      <c r="A79" s="13"/>
      <c r="B79" s="13"/>
      <c r="C79" s="13"/>
      <c r="D79" s="13"/>
      <c r="E79" s="13"/>
      <c r="F79" s="13"/>
      <c r="G79" s="13"/>
      <c r="H79" s="17"/>
      <c r="I79" s="13"/>
      <c r="J79" s="13"/>
      <c r="K79" s="13"/>
    </row>
    <row r="80" spans="1:11" ht="24" customHeight="1">
      <c r="A80" s="13"/>
      <c r="B80" s="13"/>
      <c r="C80" s="13"/>
      <c r="D80" s="13"/>
      <c r="E80" s="13"/>
      <c r="F80" s="13"/>
      <c r="G80" s="13"/>
      <c r="H80" s="17"/>
      <c r="I80" s="13"/>
      <c r="J80" s="13"/>
      <c r="K80" s="13"/>
    </row>
    <row r="81" spans="1:11" ht="24" customHeight="1">
      <c r="A81" s="13"/>
      <c r="B81" s="13"/>
      <c r="C81" s="13"/>
      <c r="D81" s="13"/>
      <c r="E81" s="13"/>
      <c r="F81" s="13"/>
      <c r="G81" s="13"/>
      <c r="H81" s="17"/>
      <c r="I81" s="13"/>
      <c r="J81" s="13"/>
      <c r="K81" s="13"/>
    </row>
    <row r="82" spans="1:11" ht="24" customHeight="1">
      <c r="A82" s="13"/>
      <c r="B82" s="13"/>
      <c r="C82" s="13"/>
      <c r="D82" s="13"/>
      <c r="E82" s="13"/>
      <c r="F82" s="13"/>
      <c r="G82" s="13"/>
      <c r="H82" s="17"/>
      <c r="I82" s="13"/>
      <c r="J82" s="13"/>
      <c r="K82" s="13"/>
    </row>
    <row r="83" spans="1:11" ht="24" customHeight="1">
      <c r="A83" s="13"/>
      <c r="B83" s="13"/>
      <c r="C83" s="13"/>
      <c r="D83" s="13"/>
      <c r="E83" s="13"/>
      <c r="F83" s="13"/>
      <c r="G83" s="13"/>
      <c r="H83" s="17"/>
      <c r="I83" s="13"/>
      <c r="J83" s="13"/>
      <c r="K83" s="13"/>
    </row>
    <row r="84" spans="1:11" ht="24" customHeight="1">
      <c r="A84" s="13"/>
      <c r="B84" s="13"/>
      <c r="C84" s="13"/>
      <c r="D84" s="13"/>
      <c r="E84" s="13"/>
      <c r="F84" s="13"/>
      <c r="G84" s="13"/>
      <c r="H84" s="17"/>
      <c r="I84" s="13"/>
      <c r="J84" s="13"/>
      <c r="K84" s="13"/>
    </row>
    <row r="85" spans="1:11" ht="24" customHeight="1">
      <c r="A85" s="13"/>
      <c r="B85" s="13"/>
      <c r="C85" s="13"/>
      <c r="D85" s="13"/>
      <c r="E85" s="13"/>
      <c r="F85" s="13"/>
      <c r="G85" s="13"/>
      <c r="H85" s="17"/>
      <c r="I85" s="13"/>
      <c r="J85" s="13"/>
      <c r="K85" s="13"/>
    </row>
    <row r="86" spans="1:11" ht="24" customHeight="1">
      <c r="A86" s="13"/>
      <c r="B86" s="13"/>
      <c r="C86" s="13"/>
      <c r="D86" s="13"/>
      <c r="E86" s="13"/>
      <c r="F86" s="13"/>
      <c r="G86" s="13"/>
      <c r="H86" s="17"/>
      <c r="I86" s="13"/>
      <c r="J86" s="13"/>
      <c r="K86" s="13"/>
    </row>
    <row r="87" spans="1:11" ht="24" customHeight="1">
      <c r="A87" s="13"/>
      <c r="B87" s="13"/>
      <c r="C87" s="13"/>
      <c r="D87" s="13"/>
      <c r="E87" s="13"/>
      <c r="F87" s="13"/>
      <c r="G87" s="13"/>
      <c r="H87" s="17"/>
      <c r="I87" s="13"/>
      <c r="J87" s="13"/>
      <c r="K87" s="13"/>
    </row>
    <row r="88" spans="1:11" ht="24" customHeight="1">
      <c r="A88" s="13"/>
      <c r="B88" s="13"/>
      <c r="C88" s="13"/>
      <c r="D88" s="13"/>
      <c r="E88" s="13"/>
      <c r="F88" s="13"/>
      <c r="G88" s="13"/>
      <c r="H88" s="17"/>
      <c r="I88" s="13"/>
      <c r="J88" s="13"/>
      <c r="K88" s="13"/>
    </row>
    <row r="89" spans="1:11" ht="24" customHeight="1">
      <c r="A89" s="13"/>
      <c r="B89" s="13"/>
      <c r="C89" s="13"/>
      <c r="D89" s="13"/>
      <c r="E89" s="13"/>
      <c r="F89" s="13"/>
      <c r="G89" s="13"/>
      <c r="H89" s="17"/>
      <c r="I89" s="13"/>
      <c r="J89" s="13"/>
      <c r="K89" s="13"/>
    </row>
    <row r="90" spans="1:11" ht="24" customHeight="1">
      <c r="A90" s="13"/>
      <c r="B90" s="13"/>
      <c r="C90" s="13"/>
      <c r="D90" s="13"/>
      <c r="E90" s="13"/>
      <c r="F90" s="13"/>
      <c r="G90" s="13"/>
      <c r="H90" s="17"/>
      <c r="I90" s="13"/>
      <c r="J90" s="13"/>
      <c r="K90" s="13"/>
    </row>
    <row r="91" spans="1:11" ht="24" customHeight="1">
      <c r="A91" s="13"/>
      <c r="B91" s="13"/>
      <c r="C91" s="13"/>
      <c r="D91" s="13"/>
      <c r="E91" s="13"/>
      <c r="F91" s="13"/>
      <c r="G91" s="13"/>
      <c r="H91" s="17"/>
      <c r="I91" s="13"/>
      <c r="J91" s="13"/>
      <c r="K91" s="13"/>
    </row>
    <row r="92" spans="1:11" ht="24" customHeight="1">
      <c r="A92" s="13"/>
      <c r="B92" s="13"/>
      <c r="C92" s="13"/>
      <c r="D92" s="13"/>
      <c r="E92" s="13"/>
      <c r="F92" s="13"/>
      <c r="G92" s="13"/>
      <c r="H92" s="17"/>
      <c r="I92" s="13"/>
      <c r="J92" s="13"/>
      <c r="K92" s="13"/>
    </row>
    <row r="93" spans="1:11" ht="24" customHeight="1">
      <c r="A93" s="13"/>
      <c r="B93" s="13"/>
      <c r="C93" s="13"/>
      <c r="D93" s="13"/>
      <c r="E93" s="13"/>
      <c r="F93" s="13"/>
      <c r="G93" s="13"/>
      <c r="H93" s="17"/>
      <c r="I93" s="13"/>
      <c r="J93" s="13"/>
      <c r="K93" s="13"/>
    </row>
    <row r="94" spans="1:11" ht="24" customHeight="1">
      <c r="A94" s="13"/>
      <c r="B94" s="13"/>
      <c r="C94" s="13"/>
      <c r="D94" s="13"/>
      <c r="E94" s="13"/>
      <c r="F94" s="13"/>
      <c r="G94" s="13"/>
      <c r="H94" s="17"/>
      <c r="I94" s="13"/>
      <c r="J94" s="13"/>
      <c r="K94" s="13"/>
    </row>
    <row r="95" spans="1:11" ht="24" customHeight="1">
      <c r="A95" s="13"/>
      <c r="B95" s="13"/>
      <c r="C95" s="13"/>
      <c r="D95" s="13"/>
      <c r="E95" s="13"/>
      <c r="F95" s="13"/>
      <c r="G95" s="13"/>
      <c r="H95" s="17"/>
      <c r="I95" s="13"/>
      <c r="J95" s="13"/>
      <c r="K95" s="13"/>
    </row>
    <row r="96" spans="1:11" ht="24" customHeight="1">
      <c r="A96" s="13"/>
      <c r="B96" s="13"/>
      <c r="C96" s="13"/>
      <c r="D96" s="13"/>
      <c r="E96" s="13"/>
      <c r="F96" s="13"/>
      <c r="G96" s="13"/>
      <c r="H96" s="17"/>
      <c r="I96" s="13"/>
      <c r="J96" s="13"/>
      <c r="K96" s="13"/>
    </row>
    <row r="97" spans="1:11" ht="24" customHeight="1">
      <c r="A97" s="13"/>
      <c r="B97" s="13"/>
      <c r="C97" s="13"/>
      <c r="D97" s="13"/>
      <c r="E97" s="13"/>
      <c r="F97" s="13"/>
      <c r="G97" s="13"/>
      <c r="H97" s="17"/>
      <c r="I97" s="13"/>
      <c r="J97" s="13"/>
      <c r="K97" s="13"/>
    </row>
    <row r="98" spans="1:11" ht="24" customHeight="1">
      <c r="A98" s="13"/>
      <c r="B98" s="13"/>
      <c r="C98" s="13"/>
      <c r="D98" s="13"/>
      <c r="E98" s="13"/>
      <c r="F98" s="13"/>
      <c r="G98" s="13"/>
      <c r="H98" s="17"/>
      <c r="I98" s="13"/>
      <c r="J98" s="13"/>
      <c r="K98" s="13"/>
    </row>
    <row r="99" spans="1:11" ht="24" customHeight="1">
      <c r="A99" s="13"/>
      <c r="B99" s="13"/>
      <c r="C99" s="13"/>
      <c r="D99" s="13"/>
      <c r="E99" s="13"/>
      <c r="F99" s="13"/>
      <c r="G99" s="13"/>
      <c r="H99" s="17"/>
      <c r="I99" s="13"/>
      <c r="J99" s="13"/>
      <c r="K99" s="13"/>
    </row>
    <row r="100" spans="1:11" ht="24" customHeight="1">
      <c r="A100" s="13"/>
      <c r="B100" s="13"/>
      <c r="C100" s="13"/>
      <c r="D100" s="13"/>
      <c r="E100" s="13"/>
      <c r="F100" s="13"/>
      <c r="G100" s="13"/>
      <c r="H100" s="17"/>
      <c r="I100" s="13"/>
      <c r="J100" s="13"/>
      <c r="K100" s="13"/>
    </row>
    <row r="101" spans="1:11" ht="24" customHeight="1">
      <c r="A101" s="13"/>
      <c r="B101" s="13"/>
      <c r="C101" s="13"/>
      <c r="D101" s="13"/>
      <c r="E101" s="13"/>
      <c r="F101" s="13"/>
      <c r="G101" s="13"/>
      <c r="H101" s="17"/>
      <c r="I101" s="13"/>
      <c r="J101" s="13"/>
      <c r="K101" s="13"/>
    </row>
    <row r="102" spans="1:11" ht="24" customHeight="1">
      <c r="A102" s="13"/>
      <c r="B102" s="13"/>
      <c r="C102" s="13"/>
      <c r="D102" s="13"/>
      <c r="E102" s="13"/>
      <c r="F102" s="13"/>
      <c r="G102" s="13"/>
      <c r="H102" s="17"/>
      <c r="I102" s="13"/>
      <c r="J102" s="13"/>
      <c r="K102" s="13"/>
    </row>
    <row r="103" spans="1:11" ht="24" customHeight="1">
      <c r="A103" s="13"/>
      <c r="B103" s="13"/>
      <c r="C103" s="13"/>
      <c r="D103" s="13"/>
      <c r="E103" s="13"/>
      <c r="F103" s="13"/>
      <c r="G103" s="13"/>
      <c r="H103" s="17"/>
      <c r="I103" s="13"/>
      <c r="J103" s="13"/>
      <c r="K103" s="13"/>
    </row>
    <row r="104" spans="1:11" ht="24" customHeight="1">
      <c r="A104" s="13"/>
      <c r="B104" s="13"/>
      <c r="C104" s="13"/>
      <c r="D104" s="13"/>
      <c r="E104" s="13"/>
      <c r="F104" s="13"/>
      <c r="G104" s="13"/>
      <c r="H104" s="17"/>
      <c r="I104" s="13"/>
      <c r="J104" s="13"/>
      <c r="K104" s="13"/>
    </row>
    <row r="105" spans="1:11" ht="24" customHeight="1">
      <c r="A105" s="13"/>
      <c r="B105" s="13"/>
      <c r="C105" s="13"/>
      <c r="D105" s="13"/>
      <c r="E105" s="13"/>
      <c r="F105" s="13"/>
      <c r="G105" s="13"/>
      <c r="H105" s="17"/>
      <c r="I105" s="13"/>
      <c r="J105" s="13"/>
      <c r="K105" s="13"/>
    </row>
    <row r="106" spans="1:11" ht="24" customHeight="1">
      <c r="A106" s="13"/>
      <c r="B106" s="13"/>
      <c r="C106" s="13"/>
      <c r="D106" s="13"/>
      <c r="E106" s="13"/>
      <c r="F106" s="13"/>
      <c r="G106" s="13"/>
      <c r="H106" s="17"/>
      <c r="I106" s="13"/>
      <c r="J106" s="13"/>
      <c r="K106" s="13"/>
    </row>
    <row r="107" spans="1:11" ht="24" customHeight="1">
      <c r="A107" s="13"/>
      <c r="B107" s="13"/>
      <c r="C107" s="13"/>
      <c r="D107" s="13"/>
      <c r="E107" s="13"/>
      <c r="F107" s="13"/>
      <c r="G107" s="13"/>
      <c r="H107" s="17"/>
      <c r="I107" s="13"/>
      <c r="J107" s="13"/>
      <c r="K107" s="13"/>
    </row>
    <row r="108" spans="1:11" ht="24" customHeight="1">
      <c r="A108" s="13"/>
      <c r="B108" s="13"/>
      <c r="C108" s="13"/>
      <c r="D108" s="13"/>
      <c r="E108" s="13"/>
      <c r="F108" s="13"/>
      <c r="G108" s="13"/>
      <c r="H108" s="17"/>
      <c r="I108" s="13"/>
      <c r="J108" s="13"/>
      <c r="K108" s="13"/>
    </row>
    <row r="109" spans="1:11" ht="24" customHeight="1">
      <c r="A109" s="13"/>
      <c r="B109" s="13"/>
      <c r="C109" s="13"/>
      <c r="D109" s="13"/>
      <c r="E109" s="13"/>
      <c r="F109" s="13"/>
      <c r="G109" s="13"/>
      <c r="H109" s="17"/>
      <c r="I109" s="13"/>
      <c r="J109" s="13"/>
      <c r="K109" s="13"/>
    </row>
    <row r="110" spans="1:11" ht="24" customHeight="1">
      <c r="A110" s="13"/>
      <c r="B110" s="13"/>
      <c r="C110" s="13"/>
      <c r="D110" s="13"/>
      <c r="E110" s="13"/>
      <c r="F110" s="13"/>
      <c r="G110" s="13"/>
      <c r="H110" s="17"/>
      <c r="I110" s="13"/>
      <c r="J110" s="13"/>
      <c r="K110" s="13"/>
    </row>
    <row r="111" spans="1:11" ht="24" customHeight="1">
      <c r="A111" s="13"/>
      <c r="B111" s="13"/>
      <c r="C111" s="13"/>
      <c r="D111" s="13"/>
      <c r="E111" s="13"/>
      <c r="F111" s="13"/>
      <c r="G111" s="13"/>
      <c r="H111" s="17"/>
      <c r="I111" s="13"/>
      <c r="J111" s="13"/>
      <c r="K111" s="13"/>
    </row>
    <row r="112" spans="1:11" ht="24" customHeight="1">
      <c r="A112" s="13"/>
      <c r="B112" s="13"/>
      <c r="C112" s="13"/>
      <c r="D112" s="13"/>
      <c r="E112" s="13"/>
      <c r="F112" s="13"/>
      <c r="G112" s="13"/>
      <c r="H112" s="17"/>
      <c r="I112" s="13"/>
      <c r="J112" s="13"/>
      <c r="K112" s="13"/>
    </row>
    <row r="113" spans="1:11" ht="24" customHeight="1">
      <c r="A113" s="13"/>
      <c r="B113" s="13"/>
      <c r="C113" s="13"/>
      <c r="D113" s="13"/>
      <c r="E113" s="13"/>
      <c r="F113" s="13"/>
      <c r="G113" s="13"/>
      <c r="H113" s="17"/>
      <c r="I113" s="13"/>
      <c r="J113" s="13"/>
      <c r="K113" s="13"/>
    </row>
    <row r="114" spans="1:11" ht="24" customHeight="1">
      <c r="A114" s="13"/>
      <c r="B114" s="13"/>
      <c r="C114" s="13"/>
      <c r="D114" s="13"/>
      <c r="E114" s="13"/>
      <c r="F114" s="13"/>
      <c r="G114" s="13"/>
      <c r="H114" s="17"/>
      <c r="I114" s="13"/>
      <c r="J114" s="13"/>
      <c r="K114" s="13"/>
    </row>
    <row r="115" spans="1:11" ht="24" customHeight="1">
      <c r="A115" s="13"/>
      <c r="B115" s="13"/>
      <c r="C115" s="13"/>
      <c r="D115" s="13"/>
      <c r="E115" s="13"/>
      <c r="F115" s="13"/>
      <c r="G115" s="13"/>
      <c r="H115" s="17"/>
      <c r="I115" s="13"/>
      <c r="J115" s="13"/>
      <c r="K115" s="13"/>
    </row>
    <row r="116" spans="1:11" ht="24" customHeight="1">
      <c r="A116" s="13"/>
      <c r="B116" s="13"/>
      <c r="C116" s="13"/>
      <c r="D116" s="13"/>
      <c r="E116" s="13"/>
      <c r="F116" s="13"/>
      <c r="G116" s="13"/>
      <c r="H116" s="17"/>
      <c r="I116" s="13"/>
      <c r="J116" s="13"/>
      <c r="K116" s="13"/>
    </row>
    <row r="117" spans="1:11" ht="24" customHeight="1">
      <c r="A117" s="13"/>
      <c r="B117" s="13"/>
      <c r="C117" s="13"/>
      <c r="D117" s="13"/>
      <c r="E117" s="13"/>
      <c r="F117" s="13"/>
      <c r="G117" s="13"/>
      <c r="H117" s="17"/>
      <c r="I117" s="13"/>
      <c r="J117" s="13"/>
      <c r="K117" s="13"/>
    </row>
    <row r="118" spans="1:11" ht="24" customHeight="1">
      <c r="A118" s="13"/>
      <c r="B118" s="13"/>
      <c r="C118" s="13"/>
      <c r="D118" s="13"/>
      <c r="E118" s="13"/>
      <c r="F118" s="13"/>
      <c r="G118" s="13"/>
      <c r="H118" s="17"/>
      <c r="I118" s="13"/>
      <c r="J118" s="13"/>
      <c r="K118" s="13"/>
    </row>
    <row r="119" spans="1:11" ht="24" customHeight="1">
      <c r="A119" s="13"/>
      <c r="B119" s="13"/>
      <c r="C119" s="13"/>
      <c r="D119" s="13"/>
      <c r="E119" s="13"/>
      <c r="F119" s="13"/>
      <c r="G119" s="13"/>
      <c r="H119" s="17"/>
      <c r="I119" s="13"/>
      <c r="J119" s="13"/>
      <c r="K119" s="13"/>
    </row>
    <row r="120" spans="1:11" ht="24" customHeight="1">
      <c r="A120" s="13"/>
      <c r="B120" s="13"/>
      <c r="C120" s="13"/>
      <c r="D120" s="13"/>
      <c r="E120" s="13"/>
      <c r="F120" s="13"/>
      <c r="G120" s="13"/>
      <c r="H120" s="17"/>
      <c r="I120" s="13"/>
      <c r="J120" s="13"/>
      <c r="K120" s="13"/>
    </row>
    <row r="121" spans="1:11" ht="24" customHeight="1">
      <c r="A121" s="13"/>
      <c r="B121" s="13"/>
      <c r="C121" s="13"/>
      <c r="D121" s="13"/>
      <c r="E121" s="13"/>
      <c r="F121" s="13"/>
      <c r="G121" s="13"/>
      <c r="H121" s="17"/>
      <c r="I121" s="13"/>
      <c r="J121" s="13"/>
      <c r="K121" s="13"/>
    </row>
    <row r="122" spans="1:11" ht="24" customHeight="1">
      <c r="A122" s="13"/>
      <c r="B122" s="13"/>
      <c r="C122" s="13"/>
      <c r="D122" s="13"/>
      <c r="E122" s="13"/>
      <c r="F122" s="13"/>
      <c r="G122" s="13"/>
      <c r="H122" s="17"/>
      <c r="I122" s="13"/>
      <c r="J122" s="13"/>
      <c r="K122" s="13"/>
    </row>
    <row r="123" spans="1:11" ht="24" customHeight="1">
      <c r="A123" s="13"/>
      <c r="B123" s="13"/>
      <c r="C123" s="13"/>
      <c r="D123" s="13"/>
      <c r="E123" s="13"/>
      <c r="F123" s="13"/>
      <c r="G123" s="13"/>
      <c r="H123" s="17"/>
      <c r="I123" s="13"/>
      <c r="J123" s="13"/>
      <c r="K123" s="13"/>
    </row>
    <row r="124" spans="1:11" ht="24" customHeight="1">
      <c r="A124" s="13"/>
      <c r="B124" s="13"/>
      <c r="C124" s="13"/>
      <c r="D124" s="13"/>
      <c r="E124" s="13"/>
      <c r="F124" s="13"/>
      <c r="G124" s="13"/>
      <c r="H124" s="17"/>
      <c r="I124" s="13"/>
      <c r="J124" s="13"/>
      <c r="K124" s="13"/>
    </row>
    <row r="125" spans="1:11" ht="24" customHeight="1">
      <c r="A125" s="13"/>
      <c r="B125" s="13"/>
      <c r="C125" s="13"/>
      <c r="D125" s="13"/>
      <c r="E125" s="13"/>
      <c r="F125" s="13"/>
      <c r="G125" s="13"/>
      <c r="H125" s="17"/>
      <c r="I125" s="13"/>
      <c r="J125" s="13"/>
      <c r="K125" s="13"/>
    </row>
    <row r="126" spans="1:11" ht="24" customHeight="1">
      <c r="A126" s="13"/>
      <c r="B126" s="13"/>
      <c r="C126" s="13"/>
      <c r="D126" s="13"/>
      <c r="E126" s="13"/>
      <c r="F126" s="13"/>
      <c r="G126" s="13"/>
      <c r="H126" s="17"/>
      <c r="I126" s="13"/>
      <c r="J126" s="13"/>
      <c r="K126" s="13"/>
    </row>
    <row r="127" spans="1:11" ht="24" customHeight="1">
      <c r="A127" s="13"/>
      <c r="B127" s="13"/>
      <c r="C127" s="13"/>
      <c r="D127" s="13"/>
      <c r="E127" s="13"/>
      <c r="F127" s="13"/>
      <c r="G127" s="13"/>
      <c r="H127" s="17"/>
      <c r="I127" s="13"/>
      <c r="J127" s="13"/>
      <c r="K127" s="13"/>
    </row>
    <row r="128" spans="1:11" ht="24" customHeight="1">
      <c r="A128" s="13"/>
      <c r="B128" s="13"/>
      <c r="C128" s="13"/>
      <c r="D128" s="13"/>
      <c r="E128" s="13"/>
      <c r="F128" s="13"/>
      <c r="G128" s="13"/>
      <c r="H128" s="17"/>
      <c r="I128" s="13"/>
      <c r="J128" s="13"/>
      <c r="K128" s="13"/>
    </row>
    <row r="129" spans="1:11" ht="24" customHeight="1">
      <c r="A129" s="13"/>
      <c r="B129" s="13"/>
      <c r="C129" s="13"/>
      <c r="D129" s="13"/>
      <c r="E129" s="13"/>
      <c r="F129" s="13"/>
      <c r="G129" s="13"/>
      <c r="H129" s="17"/>
      <c r="I129" s="13"/>
      <c r="J129" s="13"/>
      <c r="K129" s="13"/>
    </row>
    <row r="130" spans="1:11" ht="24" customHeight="1">
      <c r="A130" s="13"/>
      <c r="B130" s="13"/>
      <c r="C130" s="13"/>
      <c r="D130" s="13"/>
      <c r="E130" s="13"/>
      <c r="F130" s="13"/>
      <c r="G130" s="13"/>
      <c r="H130" s="17"/>
      <c r="I130" s="13"/>
      <c r="J130" s="13"/>
      <c r="K130" s="13"/>
    </row>
    <row r="131" spans="1:11" ht="24" customHeight="1">
      <c r="A131" s="13"/>
      <c r="B131" s="13"/>
      <c r="C131" s="13"/>
      <c r="D131" s="13"/>
      <c r="E131" s="13"/>
      <c r="F131" s="13"/>
      <c r="G131" s="13"/>
      <c r="H131" s="17"/>
      <c r="I131" s="13"/>
      <c r="J131" s="13"/>
      <c r="K131" s="13"/>
    </row>
    <row r="132" spans="1:11" ht="24" customHeight="1">
      <c r="A132" s="13"/>
      <c r="B132" s="13"/>
      <c r="C132" s="13"/>
      <c r="D132" s="13"/>
      <c r="E132" s="13"/>
      <c r="F132" s="13"/>
      <c r="G132" s="13"/>
      <c r="H132" s="17"/>
      <c r="I132" s="13"/>
      <c r="J132" s="13"/>
      <c r="K132" s="13"/>
    </row>
    <row r="133" spans="1:11" ht="24" customHeight="1">
      <c r="A133" s="13"/>
      <c r="B133" s="13"/>
      <c r="C133" s="13"/>
      <c r="D133" s="13"/>
      <c r="E133" s="13"/>
      <c r="F133" s="13"/>
      <c r="G133" s="13"/>
      <c r="H133" s="17"/>
      <c r="I133" s="13"/>
      <c r="J133" s="13"/>
      <c r="K133" s="13"/>
    </row>
    <row r="134" spans="1:11" ht="24" customHeight="1">
      <c r="A134" s="13"/>
      <c r="B134" s="13"/>
      <c r="C134" s="13"/>
      <c r="D134" s="13"/>
      <c r="E134" s="13"/>
      <c r="F134" s="13"/>
      <c r="G134" s="13"/>
      <c r="H134" s="17"/>
      <c r="I134" s="13"/>
      <c r="J134" s="13"/>
      <c r="K134" s="13"/>
    </row>
    <row r="135" spans="1:11" ht="24" customHeight="1">
      <c r="A135" s="13"/>
      <c r="B135" s="13"/>
      <c r="C135" s="13"/>
      <c r="D135" s="13"/>
      <c r="E135" s="13"/>
      <c r="F135" s="13"/>
      <c r="G135" s="13"/>
      <c r="H135" s="17"/>
      <c r="I135" s="13"/>
      <c r="J135" s="13"/>
      <c r="K135" s="13"/>
    </row>
    <row r="136" spans="1:11" ht="24" customHeight="1">
      <c r="A136" s="13"/>
      <c r="B136" s="13"/>
      <c r="C136" s="13"/>
      <c r="D136" s="13"/>
      <c r="E136" s="13"/>
      <c r="F136" s="13"/>
      <c r="G136" s="13"/>
      <c r="H136" s="17"/>
      <c r="I136" s="13"/>
      <c r="J136" s="13"/>
      <c r="K136" s="13"/>
    </row>
    <row r="137" spans="1:11" ht="24" customHeight="1">
      <c r="A137" s="13"/>
      <c r="B137" s="13"/>
      <c r="C137" s="13"/>
      <c r="D137" s="13"/>
      <c r="E137" s="13"/>
      <c r="F137" s="13"/>
      <c r="G137" s="13"/>
      <c r="H137" s="17"/>
      <c r="I137" s="13"/>
      <c r="J137" s="13"/>
      <c r="K137" s="13"/>
    </row>
    <row r="138" spans="1:11" ht="24" customHeight="1">
      <c r="A138" s="13"/>
      <c r="B138" s="13"/>
      <c r="C138" s="13"/>
      <c r="D138" s="13"/>
      <c r="E138" s="13"/>
      <c r="F138" s="13"/>
      <c r="G138" s="13"/>
      <c r="H138" s="17"/>
      <c r="I138" s="13"/>
      <c r="J138" s="13"/>
      <c r="K138" s="13"/>
    </row>
    <row r="139" spans="1:11" ht="24" customHeight="1">
      <c r="A139" s="13"/>
      <c r="B139" s="13"/>
      <c r="C139" s="13"/>
      <c r="D139" s="13"/>
      <c r="E139" s="13"/>
      <c r="F139" s="13"/>
      <c r="G139" s="13"/>
      <c r="H139" s="17"/>
      <c r="I139" s="13"/>
      <c r="J139" s="13"/>
      <c r="K139" s="13"/>
    </row>
    <row r="140" spans="1:11" ht="24" customHeight="1">
      <c r="A140" s="13"/>
      <c r="B140" s="13"/>
      <c r="C140" s="13"/>
      <c r="D140" s="13"/>
      <c r="E140" s="13"/>
      <c r="F140" s="13"/>
      <c r="G140" s="13"/>
      <c r="H140" s="17"/>
      <c r="I140" s="13"/>
      <c r="J140" s="13"/>
      <c r="K140" s="13"/>
    </row>
    <row r="141" spans="1:11" ht="24" customHeight="1">
      <c r="A141" s="13"/>
      <c r="B141" s="13"/>
      <c r="C141" s="13"/>
      <c r="D141" s="13"/>
      <c r="E141" s="13"/>
      <c r="F141" s="13"/>
      <c r="G141" s="13"/>
      <c r="H141" s="17"/>
      <c r="I141" s="13"/>
      <c r="J141" s="13"/>
      <c r="K141" s="13"/>
    </row>
    <row r="142" spans="1:11" ht="24" customHeight="1">
      <c r="A142" s="13"/>
      <c r="B142" s="13"/>
      <c r="C142" s="13"/>
      <c r="D142" s="13"/>
      <c r="E142" s="13"/>
      <c r="F142" s="13"/>
      <c r="G142" s="13"/>
      <c r="H142" s="17"/>
      <c r="I142" s="13"/>
      <c r="J142" s="13"/>
      <c r="K142" s="13"/>
    </row>
    <row r="143" spans="1:11" ht="24" customHeight="1">
      <c r="A143" s="13"/>
      <c r="B143" s="13"/>
      <c r="C143" s="13"/>
      <c r="D143" s="13"/>
      <c r="E143" s="13"/>
      <c r="F143" s="13"/>
      <c r="G143" s="13"/>
      <c r="H143" s="17"/>
      <c r="I143" s="13"/>
      <c r="J143" s="13"/>
      <c r="K143" s="13"/>
    </row>
    <row r="144" spans="1:11" ht="24" customHeight="1">
      <c r="A144" s="13"/>
      <c r="B144" s="13"/>
      <c r="C144" s="13"/>
      <c r="D144" s="13"/>
      <c r="E144" s="13"/>
      <c r="F144" s="13"/>
      <c r="G144" s="13"/>
      <c r="H144" s="17"/>
      <c r="I144" s="13"/>
      <c r="J144" s="13"/>
      <c r="K144" s="13"/>
    </row>
    <row r="145" spans="1:11" ht="24" customHeight="1">
      <c r="A145" s="13"/>
      <c r="B145" s="13"/>
      <c r="C145" s="13"/>
      <c r="D145" s="13"/>
      <c r="E145" s="13"/>
      <c r="F145" s="13"/>
      <c r="G145" s="13"/>
      <c r="H145" s="17"/>
      <c r="I145" s="13"/>
      <c r="J145" s="13"/>
      <c r="K145" s="13"/>
    </row>
    <row r="146" spans="1:11" ht="24" customHeight="1">
      <c r="A146" s="13"/>
      <c r="B146" s="13"/>
      <c r="C146" s="13"/>
      <c r="D146" s="13"/>
      <c r="E146" s="13"/>
      <c r="F146" s="13"/>
      <c r="G146" s="13"/>
      <c r="H146" s="17"/>
      <c r="I146" s="13"/>
      <c r="J146" s="13"/>
      <c r="K146" s="13"/>
    </row>
    <row r="147" spans="1:11" ht="24" customHeight="1">
      <c r="A147" s="13"/>
      <c r="B147" s="13"/>
      <c r="C147" s="13"/>
      <c r="D147" s="13"/>
      <c r="E147" s="13"/>
      <c r="F147" s="13"/>
      <c r="G147" s="13"/>
      <c r="H147" s="17"/>
      <c r="I147" s="13"/>
      <c r="J147" s="13"/>
      <c r="K147" s="13"/>
    </row>
    <row r="148" spans="1:11" ht="24" customHeight="1">
      <c r="A148" s="13"/>
      <c r="B148" s="13"/>
      <c r="C148" s="13"/>
      <c r="D148" s="13"/>
      <c r="E148" s="13"/>
      <c r="F148" s="13"/>
      <c r="G148" s="13"/>
      <c r="H148" s="17"/>
      <c r="I148" s="13"/>
      <c r="J148" s="13"/>
      <c r="K148" s="13"/>
    </row>
    <row r="149" spans="1:11" ht="24" customHeight="1">
      <c r="A149" s="13"/>
      <c r="B149" s="13"/>
      <c r="C149" s="13"/>
      <c r="D149" s="13"/>
      <c r="E149" s="13"/>
      <c r="F149" s="13"/>
      <c r="G149" s="13"/>
      <c r="H149" s="17"/>
      <c r="I149" s="13"/>
      <c r="J149" s="13"/>
      <c r="K149" s="13"/>
    </row>
    <row r="150" spans="1:11" ht="24" customHeight="1">
      <c r="A150" s="13"/>
      <c r="B150" s="13"/>
      <c r="C150" s="13"/>
      <c r="D150" s="13"/>
      <c r="E150" s="13"/>
      <c r="F150" s="13"/>
      <c r="G150" s="13"/>
      <c r="H150" s="17"/>
      <c r="I150" s="13"/>
      <c r="J150" s="13"/>
      <c r="K150" s="13"/>
    </row>
    <row r="151" spans="1:11" ht="24" customHeight="1">
      <c r="A151" s="13"/>
      <c r="B151" s="13"/>
      <c r="C151" s="13"/>
      <c r="D151" s="13"/>
      <c r="E151" s="13"/>
      <c r="F151" s="13"/>
      <c r="G151" s="13"/>
      <c r="H151" s="17"/>
      <c r="I151" s="13"/>
      <c r="J151" s="13"/>
      <c r="K151" s="13"/>
    </row>
    <row r="152" spans="1:11" ht="24" customHeight="1">
      <c r="A152" s="13"/>
      <c r="B152" s="13"/>
      <c r="C152" s="13"/>
      <c r="D152" s="13"/>
      <c r="E152" s="13"/>
      <c r="F152" s="13"/>
      <c r="G152" s="13"/>
      <c r="H152" s="17"/>
      <c r="I152" s="13"/>
      <c r="J152" s="13"/>
      <c r="K152" s="13"/>
    </row>
    <row r="153" spans="1:11" ht="24" customHeight="1">
      <c r="A153" s="13"/>
      <c r="B153" s="13"/>
      <c r="C153" s="13"/>
      <c r="D153" s="13"/>
      <c r="E153" s="13"/>
      <c r="F153" s="13"/>
      <c r="G153" s="13"/>
      <c r="H153" s="17"/>
      <c r="I153" s="13"/>
      <c r="J153" s="13"/>
      <c r="K153" s="13"/>
    </row>
    <row r="154" spans="1:11" ht="24" customHeight="1">
      <c r="A154" s="13"/>
      <c r="B154" s="13"/>
      <c r="C154" s="13"/>
      <c r="D154" s="13"/>
      <c r="E154" s="13"/>
      <c r="F154" s="13"/>
      <c r="G154" s="13"/>
      <c r="H154" s="17"/>
      <c r="I154" s="13"/>
      <c r="J154" s="13"/>
      <c r="K154" s="13"/>
    </row>
    <row r="155" spans="1:11" ht="24" customHeight="1">
      <c r="A155" s="13"/>
      <c r="B155" s="13"/>
      <c r="C155" s="13"/>
      <c r="D155" s="13"/>
      <c r="E155" s="13"/>
      <c r="F155" s="13"/>
      <c r="G155" s="13"/>
      <c r="H155" s="17"/>
      <c r="I155" s="13"/>
      <c r="J155" s="13"/>
      <c r="K155" s="13"/>
    </row>
    <row r="156" spans="1:11" ht="24" customHeight="1">
      <c r="A156" s="13"/>
      <c r="B156" s="13"/>
      <c r="C156" s="13"/>
      <c r="D156" s="13"/>
      <c r="E156" s="13"/>
      <c r="F156" s="13"/>
      <c r="G156" s="13"/>
      <c r="H156" s="17"/>
      <c r="I156" s="13"/>
      <c r="J156" s="13"/>
      <c r="K156" s="13"/>
    </row>
    <row r="157" spans="1:11" ht="24" customHeight="1">
      <c r="A157" s="13"/>
      <c r="B157" s="13"/>
      <c r="C157" s="13"/>
      <c r="D157" s="13"/>
      <c r="E157" s="13"/>
      <c r="F157" s="13"/>
      <c r="G157" s="13"/>
      <c r="H157" s="17"/>
      <c r="I157" s="13"/>
      <c r="J157" s="13"/>
      <c r="K157" s="13"/>
    </row>
    <row r="158" spans="1:11" ht="24" customHeight="1">
      <c r="A158" s="13"/>
      <c r="B158" s="13"/>
      <c r="C158" s="13"/>
      <c r="D158" s="13"/>
      <c r="E158" s="13"/>
      <c r="F158" s="13"/>
      <c r="G158" s="13"/>
      <c r="H158" s="17"/>
      <c r="I158" s="13"/>
      <c r="J158" s="13"/>
      <c r="K158" s="13"/>
    </row>
    <row r="159" spans="1:11" ht="24" customHeight="1">
      <c r="A159" s="13"/>
      <c r="B159" s="13"/>
      <c r="C159" s="13"/>
      <c r="D159" s="13"/>
      <c r="E159" s="13"/>
      <c r="F159" s="13"/>
      <c r="G159" s="13"/>
      <c r="H159" s="17"/>
      <c r="I159" s="13"/>
      <c r="J159" s="13"/>
      <c r="K159" s="13"/>
    </row>
    <row r="160" spans="1:11" ht="24" customHeight="1">
      <c r="A160" s="13"/>
      <c r="B160" s="13"/>
      <c r="C160" s="13"/>
      <c r="D160" s="13"/>
      <c r="E160" s="13"/>
      <c r="F160" s="13"/>
      <c r="G160" s="13"/>
      <c r="H160" s="17"/>
      <c r="I160" s="13"/>
      <c r="J160" s="13"/>
      <c r="K160" s="13"/>
    </row>
    <row r="161" spans="1:11" ht="24" customHeight="1">
      <c r="A161" s="13"/>
      <c r="B161" s="13"/>
      <c r="C161" s="13"/>
      <c r="D161" s="13"/>
      <c r="E161" s="13"/>
      <c r="F161" s="13"/>
      <c r="G161" s="13"/>
      <c r="H161" s="17"/>
      <c r="I161" s="13"/>
      <c r="J161" s="13"/>
      <c r="K161" s="13"/>
    </row>
    <row r="162" spans="1:11" ht="24" customHeight="1">
      <c r="A162" s="13"/>
      <c r="B162" s="13"/>
      <c r="C162" s="13"/>
      <c r="D162" s="13"/>
      <c r="E162" s="13"/>
      <c r="F162" s="13"/>
      <c r="G162" s="13"/>
      <c r="H162" s="17"/>
      <c r="I162" s="13"/>
      <c r="J162" s="13"/>
      <c r="K162" s="13"/>
    </row>
    <row r="163" spans="1:11" ht="24" customHeight="1">
      <c r="A163" s="13"/>
      <c r="B163" s="13"/>
      <c r="C163" s="13"/>
      <c r="D163" s="13"/>
      <c r="E163" s="13"/>
      <c r="F163" s="13"/>
      <c r="G163" s="13"/>
      <c r="H163" s="17"/>
      <c r="I163" s="13"/>
      <c r="J163" s="13"/>
      <c r="K163" s="13"/>
    </row>
    <row r="164" spans="1:11" ht="24" customHeight="1">
      <c r="A164" s="13"/>
      <c r="B164" s="13"/>
      <c r="C164" s="13"/>
      <c r="D164" s="13"/>
      <c r="E164" s="13"/>
      <c r="F164" s="13"/>
      <c r="G164" s="13"/>
      <c r="H164" s="17"/>
      <c r="I164" s="13"/>
      <c r="J164" s="13"/>
      <c r="K164" s="13"/>
    </row>
    <row r="165" spans="1:11" ht="24" customHeight="1">
      <c r="A165" s="13"/>
      <c r="B165" s="13"/>
      <c r="C165" s="13"/>
      <c r="D165" s="13"/>
      <c r="E165" s="13"/>
      <c r="F165" s="13"/>
      <c r="G165" s="13"/>
      <c r="H165" s="17"/>
      <c r="I165" s="13"/>
      <c r="J165" s="13"/>
      <c r="K165" s="13"/>
    </row>
    <row r="166" spans="1:11" ht="24" customHeight="1">
      <c r="A166" s="13"/>
      <c r="B166" s="13"/>
      <c r="C166" s="13"/>
      <c r="D166" s="13"/>
      <c r="E166" s="13"/>
      <c r="F166" s="13"/>
      <c r="G166" s="13"/>
      <c r="H166" s="17"/>
      <c r="I166" s="13"/>
      <c r="J166" s="13"/>
      <c r="K166" s="13"/>
    </row>
    <row r="167" spans="1:11" ht="24" customHeight="1">
      <c r="A167" s="13"/>
      <c r="B167" s="13"/>
      <c r="C167" s="13"/>
      <c r="D167" s="13"/>
      <c r="E167" s="13"/>
      <c r="F167" s="13"/>
      <c r="G167" s="13"/>
      <c r="H167" s="17"/>
      <c r="I167" s="13"/>
      <c r="J167" s="13"/>
      <c r="K167" s="13"/>
    </row>
    <row r="168" spans="1:11" ht="24" customHeight="1">
      <c r="A168" s="13"/>
      <c r="B168" s="13"/>
      <c r="C168" s="13"/>
      <c r="D168" s="13"/>
      <c r="E168" s="13"/>
      <c r="F168" s="13"/>
      <c r="G168" s="13"/>
      <c r="H168" s="17"/>
      <c r="I168" s="13"/>
      <c r="J168" s="13"/>
      <c r="K168" s="13"/>
    </row>
    <row r="169" spans="1:11" ht="24" customHeight="1">
      <c r="A169" s="13"/>
      <c r="B169" s="13"/>
      <c r="C169" s="13"/>
      <c r="D169" s="13"/>
      <c r="E169" s="13"/>
      <c r="F169" s="13"/>
      <c r="G169" s="13"/>
      <c r="H169" s="17"/>
      <c r="I169" s="13"/>
      <c r="J169" s="13"/>
      <c r="K169" s="13"/>
    </row>
    <row r="170" spans="1:11" ht="24" customHeight="1">
      <c r="A170" s="13"/>
      <c r="B170" s="13"/>
      <c r="C170" s="13"/>
      <c r="D170" s="13"/>
      <c r="E170" s="13"/>
      <c r="F170" s="13"/>
      <c r="G170" s="13"/>
      <c r="H170" s="17"/>
      <c r="I170" s="13"/>
      <c r="J170" s="13"/>
      <c r="K170" s="13"/>
    </row>
    <row r="171" spans="1:11" ht="24" customHeight="1">
      <c r="A171" s="13"/>
      <c r="B171" s="13"/>
      <c r="C171" s="13"/>
      <c r="D171" s="13"/>
      <c r="E171" s="13"/>
      <c r="F171" s="13"/>
      <c r="G171" s="13"/>
      <c r="H171" s="17"/>
      <c r="I171" s="13"/>
      <c r="J171" s="13"/>
      <c r="K171" s="13"/>
    </row>
    <row r="172" spans="1:11" ht="24" customHeight="1">
      <c r="A172" s="13"/>
      <c r="B172" s="13"/>
      <c r="C172" s="13"/>
      <c r="D172" s="13"/>
      <c r="E172" s="13"/>
      <c r="F172" s="13"/>
      <c r="G172" s="13"/>
      <c r="H172" s="17"/>
      <c r="I172" s="13"/>
      <c r="J172" s="13"/>
      <c r="K172" s="13"/>
    </row>
    <row r="173" spans="1:11" ht="24" customHeight="1">
      <c r="A173" s="13"/>
      <c r="B173" s="13"/>
      <c r="C173" s="13"/>
      <c r="D173" s="13"/>
      <c r="E173" s="13"/>
      <c r="F173" s="13"/>
      <c r="G173" s="13"/>
      <c r="H173" s="17"/>
      <c r="I173" s="13"/>
      <c r="J173" s="13"/>
      <c r="K173" s="13"/>
    </row>
    <row r="174" spans="1:11" ht="24" customHeight="1">
      <c r="A174" s="13"/>
      <c r="B174" s="13"/>
      <c r="C174" s="13"/>
      <c r="D174" s="13"/>
      <c r="E174" s="13"/>
      <c r="F174" s="13"/>
      <c r="G174" s="13"/>
      <c r="H174" s="17"/>
      <c r="I174" s="13"/>
      <c r="J174" s="13"/>
      <c r="K174" s="13"/>
    </row>
    <row r="175" spans="1:11" ht="24" customHeight="1">
      <c r="A175" s="13"/>
      <c r="B175" s="13"/>
      <c r="C175" s="13"/>
      <c r="D175" s="13"/>
      <c r="E175" s="13"/>
      <c r="F175" s="13"/>
      <c r="G175" s="13"/>
      <c r="H175" s="17"/>
      <c r="I175" s="13"/>
      <c r="J175" s="13"/>
      <c r="K175" s="13"/>
    </row>
    <row r="176" spans="1:11" ht="24" customHeight="1">
      <c r="A176" s="13"/>
      <c r="B176" s="13"/>
      <c r="C176" s="13"/>
      <c r="D176" s="13"/>
      <c r="E176" s="13"/>
      <c r="F176" s="13"/>
      <c r="G176" s="13"/>
      <c r="H176" s="17"/>
      <c r="I176" s="13"/>
      <c r="J176" s="13"/>
      <c r="K176" s="13"/>
    </row>
    <row r="177" spans="1:11" ht="24" customHeight="1">
      <c r="A177" s="13"/>
      <c r="B177" s="13"/>
      <c r="C177" s="13"/>
      <c r="D177" s="13"/>
      <c r="E177" s="13"/>
      <c r="F177" s="13"/>
      <c r="G177" s="13"/>
      <c r="H177" s="17"/>
      <c r="I177" s="13"/>
      <c r="J177" s="13"/>
      <c r="K177" s="13"/>
    </row>
    <row r="178" spans="1:11" ht="24" customHeight="1">
      <c r="A178" s="13"/>
      <c r="B178" s="13"/>
      <c r="C178" s="13"/>
      <c r="D178" s="13"/>
      <c r="E178" s="13"/>
      <c r="F178" s="13"/>
      <c r="G178" s="13"/>
      <c r="H178" s="17"/>
      <c r="I178" s="13"/>
      <c r="J178" s="13"/>
      <c r="K178" s="13"/>
    </row>
    <row r="179" spans="1:11" ht="24" customHeight="1">
      <c r="A179" s="13"/>
      <c r="B179" s="13"/>
      <c r="C179" s="13"/>
      <c r="D179" s="13"/>
      <c r="E179" s="13"/>
      <c r="F179" s="13"/>
      <c r="G179" s="13"/>
      <c r="H179" s="17"/>
      <c r="I179" s="13"/>
      <c r="J179" s="13"/>
      <c r="K179" s="13"/>
    </row>
    <row r="180" spans="1:11" ht="24" customHeight="1">
      <c r="A180" s="13"/>
      <c r="B180" s="13"/>
      <c r="C180" s="13"/>
      <c r="D180" s="13"/>
      <c r="E180" s="13"/>
      <c r="F180" s="13"/>
      <c r="G180" s="13"/>
      <c r="H180" s="17"/>
      <c r="I180" s="13"/>
      <c r="J180" s="13"/>
      <c r="K180" s="13"/>
    </row>
    <row r="181" spans="1:11" ht="24" customHeight="1">
      <c r="A181" s="13"/>
      <c r="B181" s="13"/>
      <c r="C181" s="13"/>
      <c r="D181" s="13"/>
      <c r="E181" s="13"/>
      <c r="F181" s="13"/>
      <c r="G181" s="13"/>
      <c r="H181" s="17"/>
      <c r="I181" s="13"/>
      <c r="J181" s="13"/>
      <c r="K181" s="13"/>
    </row>
    <row r="182" spans="1:11" ht="24" customHeight="1">
      <c r="A182" s="13"/>
      <c r="B182" s="13"/>
      <c r="C182" s="13"/>
      <c r="D182" s="13"/>
      <c r="E182" s="13"/>
      <c r="F182" s="13"/>
      <c r="G182" s="13"/>
      <c r="H182" s="17"/>
      <c r="I182" s="13"/>
      <c r="J182" s="13"/>
      <c r="K182" s="13"/>
    </row>
    <row r="183" spans="1:11" ht="24" customHeight="1">
      <c r="A183" s="13"/>
      <c r="B183" s="13"/>
      <c r="C183" s="13"/>
      <c r="D183" s="13"/>
      <c r="E183" s="13"/>
      <c r="F183" s="13"/>
      <c r="G183" s="13"/>
      <c r="H183" s="17"/>
      <c r="I183" s="13"/>
      <c r="J183" s="13"/>
      <c r="K183" s="13"/>
    </row>
    <row r="184" spans="1:11" ht="24" customHeight="1">
      <c r="A184" s="13"/>
      <c r="B184" s="13"/>
      <c r="C184" s="13"/>
      <c r="D184" s="13"/>
      <c r="E184" s="13"/>
      <c r="F184" s="13"/>
      <c r="G184" s="13"/>
      <c r="H184" s="17"/>
      <c r="I184" s="13"/>
      <c r="J184" s="13"/>
      <c r="K184" s="13"/>
    </row>
    <row r="185" spans="1:11" ht="24" customHeight="1">
      <c r="A185" s="13"/>
      <c r="B185" s="13"/>
      <c r="C185" s="13"/>
      <c r="D185" s="13"/>
      <c r="E185" s="13"/>
      <c r="F185" s="13"/>
      <c r="G185" s="13"/>
      <c r="H185" s="17"/>
      <c r="I185" s="13"/>
      <c r="J185" s="13"/>
      <c r="K185" s="13"/>
    </row>
    <row r="186" spans="1:11" ht="24" customHeight="1">
      <c r="A186" s="13"/>
      <c r="B186" s="13"/>
      <c r="C186" s="13"/>
      <c r="D186" s="13"/>
      <c r="E186" s="13"/>
      <c r="F186" s="13"/>
      <c r="G186" s="13"/>
      <c r="H186" s="17"/>
      <c r="I186" s="13"/>
      <c r="J186" s="13"/>
      <c r="K186" s="13"/>
    </row>
    <row r="187" spans="1:11" ht="24" customHeight="1">
      <c r="A187" s="13"/>
      <c r="B187" s="13"/>
      <c r="C187" s="13"/>
      <c r="D187" s="13"/>
      <c r="E187" s="13"/>
      <c r="F187" s="13"/>
      <c r="G187" s="13"/>
      <c r="H187" s="17"/>
      <c r="I187" s="13"/>
      <c r="J187" s="13"/>
      <c r="K187" s="13"/>
    </row>
    <row r="188" spans="1:11" ht="24" customHeight="1">
      <c r="A188" s="13"/>
      <c r="B188" s="13"/>
      <c r="C188" s="13"/>
      <c r="D188" s="13"/>
      <c r="E188" s="13"/>
      <c r="F188" s="13"/>
      <c r="G188" s="13"/>
      <c r="H188" s="17"/>
      <c r="I188" s="13"/>
      <c r="J188" s="13"/>
      <c r="K188" s="13"/>
    </row>
    <row r="189" spans="1:11" ht="24" customHeight="1">
      <c r="A189" s="13"/>
      <c r="B189" s="13"/>
      <c r="C189" s="13"/>
      <c r="D189" s="13"/>
      <c r="E189" s="13"/>
      <c r="F189" s="13"/>
      <c r="G189" s="13"/>
      <c r="H189" s="17"/>
      <c r="I189" s="13"/>
      <c r="J189" s="13"/>
      <c r="K189" s="13"/>
    </row>
    <row r="190" spans="1:11" ht="24" customHeight="1">
      <c r="A190" s="13"/>
      <c r="B190" s="13"/>
      <c r="C190" s="13"/>
      <c r="D190" s="13"/>
      <c r="E190" s="13"/>
      <c r="F190" s="13"/>
      <c r="G190" s="13"/>
      <c r="H190" s="17"/>
      <c r="I190" s="13"/>
      <c r="J190" s="13"/>
      <c r="K190" s="13"/>
    </row>
    <row r="191" spans="1:11" ht="24" customHeight="1">
      <c r="A191" s="13"/>
      <c r="B191" s="13"/>
      <c r="C191" s="13"/>
      <c r="D191" s="13"/>
      <c r="E191" s="13"/>
      <c r="F191" s="13"/>
      <c r="G191" s="13"/>
      <c r="H191" s="17"/>
      <c r="I191" s="13"/>
      <c r="J191" s="13"/>
      <c r="K191" s="13"/>
    </row>
    <row r="192" spans="1:11" ht="24" customHeight="1">
      <c r="A192" s="13"/>
      <c r="B192" s="13"/>
      <c r="C192" s="13"/>
      <c r="D192" s="13"/>
      <c r="E192" s="13"/>
      <c r="F192" s="13"/>
      <c r="G192" s="13"/>
      <c r="H192" s="17"/>
      <c r="I192" s="13"/>
      <c r="J192" s="13"/>
      <c r="K192" s="13"/>
    </row>
    <row r="193" spans="1:11" ht="24" customHeight="1">
      <c r="A193" s="13"/>
      <c r="B193" s="13"/>
      <c r="C193" s="13"/>
      <c r="D193" s="13"/>
      <c r="E193" s="13"/>
      <c r="F193" s="13"/>
      <c r="G193" s="13"/>
      <c r="H193" s="17"/>
      <c r="I193" s="13"/>
      <c r="J193" s="13"/>
      <c r="K193" s="13"/>
    </row>
    <row r="194" spans="1:11" ht="24" customHeight="1">
      <c r="A194" s="13"/>
      <c r="B194" s="13"/>
      <c r="C194" s="13"/>
      <c r="D194" s="13"/>
      <c r="E194" s="13"/>
      <c r="F194" s="13"/>
      <c r="G194" s="13"/>
      <c r="H194" s="17"/>
      <c r="I194" s="13"/>
      <c r="J194" s="13"/>
      <c r="K194" s="13"/>
    </row>
    <row r="195" spans="1:11" ht="24" customHeight="1">
      <c r="A195" s="13"/>
      <c r="B195" s="13"/>
      <c r="C195" s="13"/>
      <c r="D195" s="13"/>
      <c r="E195" s="13"/>
      <c r="F195" s="13"/>
      <c r="G195" s="13"/>
      <c r="H195" s="17"/>
      <c r="I195" s="13"/>
      <c r="J195" s="13"/>
      <c r="K195" s="13"/>
    </row>
    <row r="196" spans="1:11" ht="24" customHeight="1">
      <c r="A196" s="13"/>
      <c r="B196" s="13"/>
      <c r="C196" s="13"/>
      <c r="D196" s="13"/>
      <c r="E196" s="13"/>
      <c r="F196" s="13"/>
      <c r="G196" s="13"/>
      <c r="H196" s="17"/>
      <c r="I196" s="13"/>
      <c r="J196" s="13"/>
      <c r="K196" s="13"/>
    </row>
    <row r="197" spans="1:11" ht="24" customHeight="1">
      <c r="A197" s="13"/>
      <c r="B197" s="13"/>
      <c r="C197" s="13"/>
      <c r="D197" s="13"/>
      <c r="E197" s="13"/>
      <c r="F197" s="13"/>
      <c r="G197" s="13"/>
      <c r="H197" s="17"/>
      <c r="I197" s="13"/>
      <c r="J197" s="13"/>
      <c r="K197" s="13"/>
    </row>
    <row r="198" spans="1:11" ht="24" customHeight="1">
      <c r="A198" s="13"/>
      <c r="B198" s="13"/>
      <c r="C198" s="13"/>
      <c r="D198" s="13"/>
      <c r="E198" s="13"/>
      <c r="F198" s="13"/>
      <c r="G198" s="13"/>
      <c r="H198" s="17"/>
      <c r="I198" s="13"/>
      <c r="J198" s="13"/>
      <c r="K198" s="13"/>
    </row>
    <row r="199" spans="1:11" ht="24" customHeight="1">
      <c r="A199" s="13"/>
      <c r="B199" s="13"/>
      <c r="C199" s="13"/>
      <c r="D199" s="13"/>
      <c r="E199" s="13"/>
      <c r="F199" s="13"/>
      <c r="G199" s="13"/>
      <c r="H199" s="17"/>
      <c r="I199" s="13"/>
      <c r="J199" s="13"/>
      <c r="K199" s="13"/>
    </row>
    <row r="200" spans="1:11" ht="24" customHeight="1">
      <c r="A200" s="13"/>
      <c r="B200" s="13"/>
      <c r="C200" s="13"/>
      <c r="D200" s="13"/>
      <c r="E200" s="13"/>
      <c r="F200" s="13"/>
      <c r="G200" s="13"/>
      <c r="H200" s="17"/>
      <c r="I200" s="13"/>
      <c r="J200" s="13"/>
      <c r="K200" s="13"/>
    </row>
    <row r="201" spans="1:11" ht="24" customHeight="1">
      <c r="A201" s="13"/>
      <c r="B201" s="13"/>
      <c r="C201" s="13"/>
      <c r="D201" s="13"/>
      <c r="E201" s="13"/>
      <c r="F201" s="13"/>
      <c r="G201" s="13"/>
      <c r="H201" s="17"/>
      <c r="I201" s="13"/>
      <c r="J201" s="13"/>
      <c r="K201" s="13"/>
    </row>
    <row r="202" spans="1:11" ht="24" customHeight="1">
      <c r="A202" s="13"/>
      <c r="B202" s="13"/>
      <c r="C202" s="13"/>
      <c r="D202" s="13"/>
      <c r="E202" s="13"/>
      <c r="F202" s="13"/>
      <c r="G202" s="13"/>
      <c r="H202" s="17"/>
      <c r="I202" s="13"/>
      <c r="J202" s="13"/>
      <c r="K202" s="13"/>
    </row>
    <row r="203" spans="1:11" ht="24" customHeight="1">
      <c r="A203" s="13"/>
      <c r="B203" s="13"/>
      <c r="C203" s="13"/>
      <c r="D203" s="13"/>
      <c r="E203" s="13"/>
      <c r="F203" s="13"/>
      <c r="G203" s="13"/>
      <c r="H203" s="17"/>
      <c r="I203" s="13"/>
      <c r="J203" s="13"/>
      <c r="K203" s="13"/>
    </row>
    <row r="204" spans="1:11" ht="24" customHeight="1">
      <c r="A204" s="13"/>
      <c r="B204" s="13"/>
      <c r="C204" s="13"/>
      <c r="D204" s="13"/>
      <c r="E204" s="13"/>
      <c r="F204" s="13"/>
      <c r="G204" s="13"/>
      <c r="H204" s="17"/>
      <c r="I204" s="13"/>
      <c r="J204" s="13"/>
      <c r="K204" s="13"/>
    </row>
    <row r="205" spans="1:11" ht="24" customHeight="1">
      <c r="A205" s="13"/>
      <c r="B205" s="13"/>
      <c r="C205" s="13"/>
      <c r="D205" s="13"/>
      <c r="E205" s="13"/>
      <c r="F205" s="13"/>
      <c r="G205" s="13"/>
      <c r="H205" s="17"/>
      <c r="I205" s="13"/>
      <c r="J205" s="13"/>
      <c r="K205" s="13"/>
    </row>
    <row r="206" spans="1:11" ht="24" customHeight="1">
      <c r="A206" s="13"/>
      <c r="B206" s="13"/>
      <c r="C206" s="13"/>
      <c r="D206" s="13"/>
      <c r="E206" s="13"/>
      <c r="F206" s="13"/>
      <c r="G206" s="13"/>
      <c r="H206" s="17"/>
      <c r="I206" s="13"/>
      <c r="J206" s="13"/>
      <c r="K206" s="13"/>
    </row>
    <row r="207" spans="1:11" ht="24" customHeight="1">
      <c r="A207" s="13"/>
      <c r="B207" s="13"/>
      <c r="C207" s="13"/>
      <c r="D207" s="13"/>
      <c r="E207" s="13"/>
      <c r="F207" s="13"/>
      <c r="G207" s="13"/>
      <c r="H207" s="17"/>
      <c r="I207" s="13"/>
      <c r="J207" s="13"/>
      <c r="K207" s="13"/>
    </row>
    <row r="208" spans="1:11" ht="24" customHeight="1">
      <c r="A208" s="13"/>
      <c r="B208" s="13"/>
      <c r="C208" s="13"/>
      <c r="D208" s="13"/>
      <c r="E208" s="13"/>
      <c r="F208" s="13"/>
      <c r="G208" s="13"/>
      <c r="H208" s="17"/>
      <c r="I208" s="13"/>
      <c r="J208" s="13"/>
      <c r="K208" s="13"/>
    </row>
    <row r="209" spans="1:11" ht="24" customHeight="1">
      <c r="A209" s="13"/>
      <c r="B209" s="13"/>
      <c r="C209" s="13"/>
      <c r="D209" s="13"/>
      <c r="E209" s="13"/>
      <c r="F209" s="13"/>
      <c r="G209" s="13"/>
      <c r="H209" s="17"/>
      <c r="I209" s="13"/>
      <c r="J209" s="13"/>
      <c r="K209" s="13"/>
    </row>
    <row r="210" spans="1:11" ht="24" customHeight="1">
      <c r="A210" s="13"/>
      <c r="B210" s="13"/>
      <c r="C210" s="13"/>
      <c r="D210" s="13"/>
      <c r="E210" s="13"/>
      <c r="F210" s="13"/>
      <c r="G210" s="13"/>
      <c r="H210" s="17"/>
      <c r="I210" s="13"/>
      <c r="J210" s="13"/>
      <c r="K210" s="13"/>
    </row>
    <row r="211" spans="1:11" ht="24" customHeight="1">
      <c r="A211" s="13"/>
      <c r="B211" s="13"/>
      <c r="C211" s="13"/>
      <c r="D211" s="13"/>
      <c r="E211" s="13"/>
      <c r="F211" s="13"/>
      <c r="G211" s="13"/>
      <c r="H211" s="17"/>
      <c r="I211" s="13"/>
      <c r="J211" s="13"/>
      <c r="K211" s="13"/>
    </row>
    <row r="212" spans="1:11" ht="24" customHeight="1">
      <c r="A212" s="13"/>
      <c r="B212" s="13"/>
      <c r="C212" s="13"/>
      <c r="D212" s="13"/>
      <c r="E212" s="13"/>
      <c r="F212" s="13"/>
      <c r="G212" s="13"/>
      <c r="H212" s="17"/>
      <c r="I212" s="13"/>
      <c r="J212" s="13"/>
      <c r="K212" s="13"/>
    </row>
    <row r="213" spans="1:11" ht="24" customHeight="1">
      <c r="A213" s="13"/>
      <c r="B213" s="13"/>
      <c r="C213" s="13"/>
      <c r="D213" s="13"/>
      <c r="E213" s="13"/>
      <c r="F213" s="13"/>
      <c r="G213" s="13"/>
      <c r="H213" s="17"/>
      <c r="I213" s="13"/>
      <c r="J213" s="13"/>
      <c r="K213" s="13"/>
    </row>
    <row r="214" spans="1:11" ht="24" customHeight="1">
      <c r="A214" s="13"/>
      <c r="B214" s="13"/>
      <c r="C214" s="13"/>
      <c r="D214" s="13"/>
      <c r="E214" s="13"/>
      <c r="F214" s="13"/>
      <c r="G214" s="13"/>
      <c r="H214" s="17"/>
      <c r="I214" s="13"/>
      <c r="J214" s="13"/>
      <c r="K214" s="13"/>
    </row>
    <row r="215" spans="1:11" ht="24" customHeight="1">
      <c r="A215" s="13"/>
      <c r="B215" s="13"/>
      <c r="C215" s="13"/>
      <c r="D215" s="13"/>
      <c r="E215" s="13"/>
      <c r="F215" s="13"/>
      <c r="G215" s="13"/>
      <c r="H215" s="17"/>
      <c r="I215" s="13"/>
      <c r="J215" s="13"/>
      <c r="K215" s="13"/>
    </row>
    <row r="216" spans="1:11" ht="24" customHeight="1">
      <c r="A216" s="13"/>
      <c r="B216" s="13"/>
      <c r="C216" s="13"/>
      <c r="D216" s="13"/>
      <c r="E216" s="13"/>
      <c r="F216" s="13"/>
      <c r="G216" s="13"/>
      <c r="H216" s="17"/>
      <c r="I216" s="13"/>
      <c r="J216" s="13"/>
      <c r="K216" s="13"/>
    </row>
    <row r="217" spans="1:11" ht="24" customHeight="1">
      <c r="A217" s="13"/>
      <c r="B217" s="13"/>
      <c r="C217" s="13"/>
      <c r="D217" s="13"/>
      <c r="E217" s="13"/>
      <c r="F217" s="13"/>
      <c r="G217" s="13"/>
      <c r="H217" s="17"/>
      <c r="I217" s="13"/>
      <c r="J217" s="13"/>
      <c r="K217" s="13"/>
    </row>
    <row r="218" spans="1:11" ht="24" customHeight="1">
      <c r="A218" s="13"/>
      <c r="B218" s="13"/>
      <c r="C218" s="13"/>
      <c r="D218" s="13"/>
      <c r="E218" s="13"/>
      <c r="F218" s="13"/>
      <c r="G218" s="13"/>
      <c r="H218" s="17"/>
      <c r="I218" s="13"/>
      <c r="J218" s="13"/>
      <c r="K218" s="13"/>
    </row>
    <row r="219" spans="1:11" ht="24" customHeight="1">
      <c r="A219" s="13"/>
      <c r="B219" s="13"/>
      <c r="C219" s="13"/>
      <c r="D219" s="13"/>
      <c r="E219" s="13"/>
      <c r="F219" s="13"/>
      <c r="G219" s="13"/>
      <c r="H219" s="17"/>
      <c r="I219" s="13"/>
      <c r="J219" s="13"/>
      <c r="K219" s="13"/>
    </row>
    <row r="220" spans="1:11" ht="24" customHeight="1">
      <c r="A220" s="13"/>
      <c r="B220" s="13"/>
      <c r="C220" s="13"/>
      <c r="D220" s="13"/>
      <c r="E220" s="13"/>
      <c r="F220" s="13"/>
      <c r="G220" s="13"/>
      <c r="H220" s="17"/>
      <c r="I220" s="13"/>
      <c r="J220" s="13"/>
      <c r="K220" s="13"/>
    </row>
    <row r="221" spans="1:11" ht="24" customHeight="1">
      <c r="A221" s="13"/>
      <c r="B221" s="13"/>
      <c r="C221" s="13"/>
      <c r="D221" s="13"/>
      <c r="E221" s="13"/>
      <c r="F221" s="13"/>
      <c r="G221" s="13"/>
      <c r="H221" s="17"/>
      <c r="I221" s="13"/>
      <c r="J221" s="13"/>
      <c r="K221" s="13"/>
    </row>
    <row r="222" spans="1:11" ht="24" customHeight="1">
      <c r="A222" s="13"/>
      <c r="B222" s="13"/>
      <c r="C222" s="13"/>
      <c r="D222" s="13"/>
      <c r="E222" s="13"/>
      <c r="F222" s="13"/>
      <c r="G222" s="13"/>
      <c r="H222" s="17"/>
      <c r="I222" s="13"/>
      <c r="J222" s="13"/>
      <c r="K222" s="13"/>
    </row>
    <row r="223" spans="1:11" ht="24" customHeight="1">
      <c r="A223" s="13"/>
      <c r="B223" s="13"/>
      <c r="C223" s="13"/>
      <c r="D223" s="13"/>
      <c r="E223" s="13"/>
      <c r="F223" s="13"/>
      <c r="G223" s="13"/>
      <c r="H223" s="17"/>
      <c r="I223" s="13"/>
      <c r="J223" s="13"/>
      <c r="K223" s="13"/>
    </row>
    <row r="224" spans="1:11" ht="24" customHeight="1">
      <c r="A224" s="13"/>
      <c r="B224" s="13"/>
      <c r="C224" s="13"/>
      <c r="D224" s="13"/>
      <c r="E224" s="13"/>
      <c r="F224" s="13"/>
      <c r="G224" s="13"/>
      <c r="H224" s="17"/>
      <c r="I224" s="13"/>
      <c r="J224" s="13"/>
      <c r="K224" s="13"/>
    </row>
    <row r="225" spans="1:11" ht="24" customHeight="1">
      <c r="A225" s="13"/>
      <c r="B225" s="13"/>
      <c r="C225" s="13"/>
      <c r="D225" s="13"/>
      <c r="E225" s="13"/>
      <c r="F225" s="13"/>
      <c r="G225" s="13"/>
      <c r="H225" s="17"/>
      <c r="I225" s="13"/>
      <c r="J225" s="13"/>
      <c r="K225" s="13"/>
    </row>
    <row r="226" spans="1:11" ht="24" customHeight="1">
      <c r="A226" s="13"/>
      <c r="B226" s="13"/>
      <c r="C226" s="13"/>
      <c r="D226" s="13"/>
      <c r="E226" s="13"/>
      <c r="F226" s="13"/>
      <c r="G226" s="13"/>
      <c r="H226" s="17"/>
      <c r="I226" s="13"/>
      <c r="J226" s="13"/>
      <c r="K226" s="13"/>
    </row>
    <row r="227" spans="1:11" ht="24" customHeight="1">
      <c r="A227" s="13"/>
      <c r="B227" s="13"/>
      <c r="C227" s="13"/>
      <c r="D227" s="13"/>
      <c r="E227" s="13"/>
      <c r="F227" s="13"/>
      <c r="G227" s="13"/>
      <c r="H227" s="17"/>
      <c r="I227" s="13"/>
      <c r="J227" s="13"/>
      <c r="K227" s="13"/>
    </row>
    <row r="228" spans="1:11" ht="24" customHeight="1">
      <c r="A228" s="13"/>
      <c r="B228" s="13"/>
      <c r="C228" s="13"/>
      <c r="D228" s="13"/>
      <c r="E228" s="13"/>
      <c r="F228" s="13"/>
      <c r="G228" s="13"/>
      <c r="H228" s="17"/>
      <c r="I228" s="13"/>
      <c r="J228" s="13"/>
      <c r="K228" s="13"/>
    </row>
    <row r="229" spans="1:11" ht="24" customHeight="1">
      <c r="A229" s="13"/>
      <c r="B229" s="13"/>
      <c r="C229" s="13"/>
      <c r="D229" s="13"/>
      <c r="E229" s="13"/>
      <c r="F229" s="13"/>
      <c r="G229" s="13"/>
      <c r="H229" s="17"/>
      <c r="I229" s="13"/>
      <c r="J229" s="13"/>
      <c r="K229" s="13"/>
    </row>
    <row r="230" spans="1:11" ht="24" customHeight="1">
      <c r="A230" s="13"/>
      <c r="B230" s="13"/>
      <c r="C230" s="13"/>
      <c r="D230" s="13"/>
      <c r="E230" s="13"/>
      <c r="F230" s="13"/>
      <c r="G230" s="13"/>
      <c r="H230" s="17"/>
      <c r="I230" s="13"/>
      <c r="J230" s="13"/>
      <c r="K230" s="13"/>
    </row>
    <row r="231" spans="1:11" ht="24" customHeight="1">
      <c r="A231" s="13"/>
      <c r="B231" s="13"/>
      <c r="C231" s="13"/>
      <c r="D231" s="13"/>
      <c r="E231" s="13"/>
      <c r="F231" s="13"/>
      <c r="G231" s="13"/>
      <c r="H231" s="17"/>
      <c r="I231" s="13"/>
      <c r="J231" s="13"/>
      <c r="K231" s="13"/>
    </row>
    <row r="232" spans="1:11" ht="24" customHeight="1">
      <c r="A232" s="13"/>
      <c r="B232" s="13"/>
      <c r="C232" s="13"/>
      <c r="D232" s="13"/>
      <c r="E232" s="13"/>
      <c r="F232" s="13"/>
      <c r="G232" s="13"/>
      <c r="H232" s="17"/>
      <c r="I232" s="13"/>
      <c r="J232" s="13"/>
      <c r="K232" s="13"/>
    </row>
    <row r="233" spans="1:11" ht="24" customHeight="1">
      <c r="A233" s="13"/>
      <c r="B233" s="13"/>
      <c r="C233" s="13"/>
      <c r="D233" s="13"/>
      <c r="E233" s="13"/>
      <c r="F233" s="13"/>
      <c r="G233" s="13"/>
      <c r="H233" s="17"/>
      <c r="I233" s="13"/>
      <c r="J233" s="13"/>
      <c r="K233" s="13"/>
    </row>
    <row r="234" spans="1:11" ht="24" customHeight="1">
      <c r="A234" s="13"/>
      <c r="B234" s="13"/>
      <c r="C234" s="13"/>
      <c r="D234" s="13"/>
      <c r="E234" s="13"/>
      <c r="F234" s="13"/>
      <c r="G234" s="13"/>
      <c r="H234" s="17"/>
      <c r="I234" s="13"/>
      <c r="J234" s="13"/>
      <c r="K234" s="13"/>
    </row>
    <row r="235" spans="1:11" ht="24" customHeight="1">
      <c r="A235" s="13"/>
      <c r="B235" s="13"/>
      <c r="C235" s="13"/>
      <c r="D235" s="13"/>
      <c r="E235" s="13"/>
      <c r="F235" s="13"/>
      <c r="G235" s="13"/>
      <c r="H235" s="17"/>
      <c r="I235" s="13"/>
      <c r="J235" s="13"/>
      <c r="K235" s="13"/>
    </row>
    <row r="236" spans="1:11" ht="24" customHeight="1">
      <c r="A236" s="13"/>
      <c r="B236" s="13"/>
      <c r="C236" s="13"/>
      <c r="D236" s="13"/>
      <c r="E236" s="13"/>
      <c r="F236" s="13"/>
      <c r="G236" s="13"/>
      <c r="H236" s="17"/>
      <c r="I236" s="13"/>
      <c r="J236" s="13"/>
      <c r="K236" s="13"/>
    </row>
    <row r="237" spans="1:11" ht="24" customHeight="1">
      <c r="A237" s="13"/>
      <c r="B237" s="13"/>
      <c r="C237" s="13"/>
      <c r="D237" s="13"/>
      <c r="E237" s="13"/>
      <c r="F237" s="13"/>
      <c r="G237" s="13"/>
      <c r="H237" s="17"/>
      <c r="I237" s="13"/>
      <c r="J237" s="13"/>
      <c r="K237" s="13"/>
    </row>
    <row r="238" spans="1:11" ht="24" customHeight="1">
      <c r="A238" s="13"/>
      <c r="B238" s="13"/>
      <c r="C238" s="13"/>
      <c r="D238" s="13"/>
      <c r="E238" s="13"/>
      <c r="F238" s="13"/>
      <c r="G238" s="13"/>
      <c r="H238" s="17"/>
      <c r="I238" s="13"/>
      <c r="J238" s="13"/>
      <c r="K238" s="13"/>
    </row>
    <row r="239" spans="1:11" ht="24" customHeight="1">
      <c r="A239" s="13"/>
      <c r="B239" s="13"/>
      <c r="C239" s="13"/>
      <c r="D239" s="13"/>
      <c r="E239" s="13"/>
      <c r="F239" s="13"/>
      <c r="G239" s="13"/>
      <c r="H239" s="17"/>
      <c r="I239" s="13"/>
      <c r="J239" s="13"/>
      <c r="K239" s="13"/>
    </row>
    <row r="240" spans="1:11" ht="24" customHeight="1">
      <c r="A240" s="13"/>
      <c r="B240" s="13"/>
      <c r="C240" s="13"/>
      <c r="D240" s="13"/>
      <c r="E240" s="13"/>
      <c r="F240" s="13"/>
      <c r="G240" s="13"/>
      <c r="H240" s="17"/>
      <c r="I240" s="13"/>
      <c r="J240" s="13"/>
      <c r="K240" s="13"/>
    </row>
    <row r="241" spans="1:11" ht="24" customHeight="1">
      <c r="A241" s="13"/>
      <c r="B241" s="13"/>
      <c r="C241" s="13"/>
      <c r="D241" s="13"/>
      <c r="E241" s="13"/>
      <c r="F241" s="13"/>
      <c r="G241" s="13"/>
      <c r="H241" s="17"/>
      <c r="I241" s="13"/>
      <c r="J241" s="13"/>
      <c r="K241" s="13"/>
    </row>
    <row r="242" spans="1:11" ht="24" customHeight="1">
      <c r="A242" s="13"/>
      <c r="B242" s="13"/>
      <c r="C242" s="13"/>
      <c r="D242" s="13"/>
      <c r="E242" s="13"/>
      <c r="F242" s="13"/>
      <c r="G242" s="13"/>
      <c r="H242" s="17"/>
      <c r="I242" s="13"/>
      <c r="J242" s="13"/>
      <c r="K242" s="13"/>
    </row>
    <row r="243" spans="1:11" ht="24" customHeight="1">
      <c r="A243" s="13"/>
      <c r="B243" s="13"/>
      <c r="C243" s="13"/>
      <c r="D243" s="13"/>
      <c r="E243" s="13"/>
      <c r="F243" s="13"/>
      <c r="G243" s="13"/>
      <c r="H243" s="17"/>
      <c r="I243" s="13"/>
      <c r="J243" s="13"/>
      <c r="K243" s="13"/>
    </row>
    <row r="244" spans="1:11" ht="24" customHeight="1">
      <c r="A244" s="13"/>
      <c r="B244" s="13"/>
      <c r="C244" s="13"/>
      <c r="D244" s="13"/>
      <c r="E244" s="13"/>
      <c r="F244" s="13"/>
      <c r="G244" s="13"/>
      <c r="H244" s="17"/>
      <c r="I244" s="13"/>
      <c r="J244" s="13"/>
      <c r="K244" s="13"/>
    </row>
    <row r="245" spans="1:11" ht="24" customHeight="1">
      <c r="A245" s="13"/>
      <c r="B245" s="13"/>
      <c r="C245" s="13"/>
      <c r="D245" s="13"/>
      <c r="E245" s="13"/>
      <c r="F245" s="13"/>
      <c r="G245" s="13"/>
      <c r="H245" s="17"/>
      <c r="I245" s="13"/>
      <c r="J245" s="13"/>
      <c r="K245" s="13"/>
    </row>
    <row r="246" spans="1:11" ht="24" customHeight="1">
      <c r="A246" s="13"/>
      <c r="B246" s="13"/>
      <c r="C246" s="13"/>
      <c r="D246" s="13"/>
      <c r="E246" s="13"/>
      <c r="F246" s="13"/>
      <c r="G246" s="13"/>
      <c r="H246" s="17"/>
      <c r="I246" s="13"/>
      <c r="J246" s="13"/>
      <c r="K246" s="13"/>
    </row>
    <row r="247" spans="1:11" ht="24" customHeight="1">
      <c r="A247" s="13"/>
      <c r="B247" s="13"/>
      <c r="C247" s="13"/>
      <c r="D247" s="13"/>
      <c r="E247" s="13"/>
      <c r="F247" s="13"/>
      <c r="G247" s="13"/>
      <c r="H247" s="17"/>
      <c r="I247" s="13"/>
      <c r="J247" s="13"/>
      <c r="K247" s="13"/>
    </row>
    <row r="248" spans="1:11" ht="24" customHeight="1">
      <c r="A248" s="13"/>
      <c r="B248" s="13"/>
      <c r="C248" s="13"/>
      <c r="D248" s="13"/>
      <c r="E248" s="13"/>
      <c r="F248" s="13"/>
      <c r="G248" s="13"/>
      <c r="H248" s="17"/>
      <c r="I248" s="13"/>
      <c r="J248" s="13"/>
      <c r="K248" s="13"/>
    </row>
    <row r="249" spans="1:11" ht="24" customHeight="1">
      <c r="A249" s="13"/>
      <c r="B249" s="13"/>
      <c r="C249" s="13"/>
      <c r="D249" s="13"/>
      <c r="E249" s="13"/>
      <c r="F249" s="13"/>
      <c r="G249" s="13"/>
      <c r="H249" s="17"/>
      <c r="I249" s="13"/>
      <c r="J249" s="13"/>
      <c r="K249" s="13"/>
    </row>
    <row r="250" spans="1:11" ht="24" customHeight="1">
      <c r="A250" s="13"/>
      <c r="B250" s="13"/>
      <c r="C250" s="13"/>
      <c r="D250" s="13"/>
      <c r="E250" s="13"/>
      <c r="F250" s="13"/>
      <c r="G250" s="13"/>
      <c r="H250" s="17"/>
      <c r="I250" s="13"/>
      <c r="J250" s="13"/>
      <c r="K250" s="13"/>
    </row>
    <row r="251" spans="1:11" ht="24" customHeight="1">
      <c r="A251" s="13"/>
      <c r="B251" s="13"/>
      <c r="C251" s="13"/>
      <c r="D251" s="13"/>
      <c r="E251" s="13"/>
      <c r="F251" s="13"/>
      <c r="G251" s="13"/>
      <c r="H251" s="17"/>
      <c r="I251" s="13"/>
      <c r="J251" s="13"/>
      <c r="K251" s="13"/>
    </row>
    <row r="252" spans="1:11" ht="24" customHeight="1">
      <c r="A252" s="13"/>
      <c r="B252" s="13"/>
      <c r="C252" s="13"/>
      <c r="D252" s="13"/>
      <c r="E252" s="13"/>
      <c r="F252" s="13"/>
      <c r="G252" s="13"/>
      <c r="H252" s="17"/>
      <c r="I252" s="13"/>
      <c r="J252" s="13"/>
      <c r="K252" s="13"/>
    </row>
    <row r="253" spans="1:11" ht="24" customHeight="1">
      <c r="A253" s="13"/>
      <c r="B253" s="13"/>
      <c r="C253" s="13"/>
      <c r="D253" s="13"/>
      <c r="E253" s="13"/>
      <c r="F253" s="13"/>
      <c r="G253" s="13"/>
      <c r="H253" s="17"/>
      <c r="I253" s="13"/>
      <c r="J253" s="13"/>
      <c r="K253" s="13"/>
    </row>
    <row r="254" spans="1:11" ht="24" customHeight="1">
      <c r="A254" s="13"/>
      <c r="B254" s="13"/>
      <c r="C254" s="13"/>
      <c r="D254" s="13"/>
      <c r="E254" s="13"/>
      <c r="F254" s="13"/>
      <c r="G254" s="13"/>
      <c r="H254" s="17"/>
      <c r="I254" s="13"/>
      <c r="J254" s="13"/>
      <c r="K254" s="13"/>
    </row>
    <row r="255" spans="1:11" ht="24" customHeight="1">
      <c r="A255" s="13"/>
      <c r="B255" s="13"/>
      <c r="C255" s="13"/>
      <c r="D255" s="13"/>
      <c r="E255" s="13"/>
      <c r="F255" s="13"/>
      <c r="G255" s="13"/>
      <c r="H255" s="17"/>
      <c r="I255" s="13"/>
      <c r="J255" s="13"/>
      <c r="K255" s="13"/>
    </row>
    <row r="256" spans="1:11" ht="24" customHeight="1">
      <c r="A256" s="13"/>
      <c r="B256" s="13"/>
      <c r="C256" s="13"/>
      <c r="D256" s="13"/>
      <c r="E256" s="13"/>
      <c r="F256" s="13"/>
      <c r="G256" s="13"/>
      <c r="H256" s="17"/>
      <c r="I256" s="13"/>
      <c r="J256" s="13"/>
      <c r="K256" s="13"/>
    </row>
    <row r="257" spans="1:11" ht="24" customHeight="1">
      <c r="A257" s="13"/>
      <c r="B257" s="13"/>
      <c r="C257" s="13"/>
      <c r="D257" s="13"/>
      <c r="E257" s="13"/>
      <c r="F257" s="13"/>
      <c r="G257" s="13"/>
      <c r="H257" s="17"/>
      <c r="I257" s="13"/>
      <c r="J257" s="13"/>
      <c r="K257" s="13"/>
    </row>
    <row r="258" spans="1:11" ht="24" customHeight="1">
      <c r="A258" s="13"/>
      <c r="B258" s="13"/>
      <c r="C258" s="13"/>
      <c r="D258" s="13"/>
      <c r="E258" s="13"/>
      <c r="F258" s="13"/>
      <c r="G258" s="13"/>
      <c r="H258" s="17"/>
      <c r="I258" s="13"/>
      <c r="J258" s="13"/>
      <c r="K258" s="13"/>
    </row>
    <row r="259" spans="1:11" ht="24" customHeight="1">
      <c r="A259" s="13"/>
      <c r="B259" s="13"/>
      <c r="C259" s="13"/>
      <c r="D259" s="13"/>
      <c r="E259" s="13"/>
      <c r="F259" s="13"/>
      <c r="G259" s="13"/>
      <c r="H259" s="17"/>
      <c r="I259" s="13"/>
      <c r="J259" s="13"/>
      <c r="K259" s="13"/>
    </row>
    <row r="260" spans="1:11" ht="24" customHeight="1">
      <c r="A260" s="13"/>
      <c r="B260" s="13"/>
      <c r="C260" s="13"/>
      <c r="D260" s="13"/>
      <c r="E260" s="13"/>
      <c r="F260" s="13"/>
      <c r="G260" s="13"/>
      <c r="H260" s="17"/>
      <c r="I260" s="13"/>
      <c r="J260" s="13"/>
      <c r="K260" s="13"/>
    </row>
    <row r="261" spans="1:11" ht="24" customHeight="1">
      <c r="A261" s="13"/>
      <c r="B261" s="13"/>
      <c r="C261" s="13"/>
      <c r="D261" s="13"/>
      <c r="E261" s="13"/>
      <c r="F261" s="13"/>
      <c r="G261" s="13"/>
      <c r="H261" s="17"/>
      <c r="I261" s="13"/>
      <c r="J261" s="13"/>
      <c r="K261" s="13"/>
    </row>
    <row r="262" spans="1:11" ht="24" customHeight="1">
      <c r="A262" s="13"/>
      <c r="B262" s="13"/>
      <c r="C262" s="13"/>
      <c r="D262" s="13"/>
      <c r="E262" s="13"/>
      <c r="F262" s="13"/>
      <c r="G262" s="13"/>
      <c r="H262" s="17"/>
      <c r="I262" s="13"/>
      <c r="J262" s="13"/>
      <c r="K262" s="13"/>
    </row>
    <row r="263" spans="1:11" ht="24" customHeight="1">
      <c r="A263" s="13"/>
      <c r="B263" s="13"/>
      <c r="C263" s="13"/>
      <c r="D263" s="13"/>
      <c r="E263" s="13"/>
      <c r="F263" s="13"/>
      <c r="G263" s="13"/>
      <c r="H263" s="17"/>
      <c r="I263" s="13"/>
      <c r="J263" s="13"/>
      <c r="K263" s="13"/>
    </row>
    <row r="264" spans="1:11" ht="24" customHeight="1">
      <c r="A264" s="13"/>
      <c r="B264" s="13"/>
      <c r="C264" s="13"/>
      <c r="D264" s="13"/>
      <c r="E264" s="13"/>
      <c r="F264" s="13"/>
      <c r="G264" s="13"/>
      <c r="H264" s="17"/>
      <c r="I264" s="13"/>
      <c r="J264" s="13"/>
      <c r="K264" s="13"/>
    </row>
    <row r="265" spans="1:11" ht="24" customHeight="1">
      <c r="A265" s="13"/>
      <c r="B265" s="13"/>
      <c r="C265" s="13"/>
      <c r="D265" s="13"/>
      <c r="E265" s="13"/>
      <c r="F265" s="13"/>
      <c r="G265" s="13"/>
      <c r="H265" s="17"/>
      <c r="I265" s="13"/>
      <c r="J265" s="13"/>
      <c r="K265" s="13"/>
    </row>
    <row r="266" spans="1:11" ht="24" customHeight="1">
      <c r="A266" s="13"/>
      <c r="B266" s="13"/>
      <c r="C266" s="13"/>
      <c r="D266" s="13"/>
      <c r="E266" s="13"/>
      <c r="F266" s="13"/>
      <c r="G266" s="13"/>
      <c r="H266" s="17"/>
      <c r="I266" s="13"/>
      <c r="J266" s="13"/>
      <c r="K266" s="13"/>
    </row>
    <row r="267" spans="1:11" ht="24" customHeight="1">
      <c r="A267" s="13"/>
      <c r="B267" s="13"/>
      <c r="C267" s="13"/>
      <c r="D267" s="13"/>
      <c r="E267" s="13"/>
      <c r="F267" s="13"/>
      <c r="G267" s="13"/>
      <c r="H267" s="17"/>
      <c r="I267" s="13"/>
      <c r="J267" s="13"/>
      <c r="K267" s="13"/>
    </row>
    <row r="268" spans="1:11" ht="24" customHeight="1">
      <c r="A268" s="13"/>
      <c r="B268" s="13"/>
      <c r="C268" s="13"/>
      <c r="D268" s="13"/>
      <c r="E268" s="13"/>
      <c r="F268" s="13"/>
      <c r="G268" s="13"/>
      <c r="H268" s="17"/>
      <c r="I268" s="13"/>
      <c r="J268" s="13"/>
      <c r="K268" s="13"/>
    </row>
    <row r="269" spans="1:11" ht="24" customHeight="1">
      <c r="A269" s="13"/>
      <c r="B269" s="13"/>
      <c r="C269" s="13"/>
      <c r="D269" s="13"/>
      <c r="E269" s="13"/>
      <c r="F269" s="13"/>
      <c r="G269" s="13"/>
      <c r="H269" s="17"/>
      <c r="I269" s="13"/>
      <c r="J269" s="13"/>
      <c r="K269" s="13"/>
    </row>
    <row r="270" spans="1:11" ht="24" customHeight="1">
      <c r="A270" s="13"/>
      <c r="B270" s="13"/>
      <c r="C270" s="13"/>
      <c r="D270" s="13"/>
      <c r="E270" s="13"/>
      <c r="F270" s="13"/>
      <c r="G270" s="13"/>
      <c r="H270" s="17"/>
      <c r="I270" s="13"/>
      <c r="J270" s="13"/>
      <c r="K270" s="13"/>
    </row>
    <row r="271" spans="1:11" ht="24" customHeight="1">
      <c r="A271" s="13"/>
      <c r="B271" s="13"/>
      <c r="C271" s="13"/>
      <c r="D271" s="13"/>
      <c r="E271" s="13"/>
      <c r="F271" s="13"/>
      <c r="G271" s="13"/>
      <c r="H271" s="17"/>
      <c r="I271" s="13"/>
      <c r="J271" s="13"/>
      <c r="K271" s="13"/>
    </row>
    <row r="272" spans="1:11" ht="24" customHeight="1">
      <c r="A272" s="13"/>
      <c r="B272" s="13"/>
      <c r="C272" s="13"/>
      <c r="D272" s="13"/>
      <c r="E272" s="13"/>
      <c r="F272" s="13"/>
      <c r="G272" s="13"/>
      <c r="H272" s="17"/>
      <c r="I272" s="13"/>
      <c r="J272" s="13"/>
      <c r="K272" s="13"/>
    </row>
    <row r="273" spans="1:11" ht="24" customHeight="1">
      <c r="A273" s="13"/>
      <c r="B273" s="13"/>
      <c r="C273" s="13"/>
      <c r="D273" s="13"/>
      <c r="E273" s="13"/>
      <c r="F273" s="13"/>
      <c r="G273" s="13"/>
      <c r="H273" s="17"/>
      <c r="I273" s="13"/>
      <c r="J273" s="13"/>
      <c r="K273" s="13"/>
    </row>
    <row r="274" spans="1:11" ht="24" customHeight="1">
      <c r="A274" s="13"/>
      <c r="B274" s="13"/>
      <c r="C274" s="13"/>
      <c r="D274" s="13"/>
      <c r="E274" s="13"/>
      <c r="F274" s="13"/>
      <c r="G274" s="13"/>
      <c r="H274" s="17"/>
      <c r="I274" s="13"/>
      <c r="J274" s="13"/>
      <c r="K274" s="13"/>
    </row>
    <row r="275" spans="1:11" ht="24" customHeight="1">
      <c r="A275" s="13"/>
      <c r="B275" s="13"/>
      <c r="C275" s="13"/>
      <c r="D275" s="13"/>
      <c r="E275" s="13"/>
      <c r="F275" s="13"/>
      <c r="G275" s="13"/>
      <c r="H275" s="17"/>
      <c r="I275" s="13"/>
      <c r="J275" s="13"/>
      <c r="K275" s="13"/>
    </row>
    <row r="276" spans="1:11" ht="24" customHeight="1">
      <c r="A276" s="13"/>
      <c r="B276" s="13"/>
      <c r="C276" s="13"/>
      <c r="D276" s="13"/>
      <c r="E276" s="13"/>
      <c r="F276" s="13"/>
      <c r="G276" s="13"/>
      <c r="H276" s="17"/>
      <c r="I276" s="13"/>
      <c r="J276" s="13"/>
      <c r="K276" s="13"/>
    </row>
    <row r="277" spans="1:11" ht="24" customHeight="1">
      <c r="A277" s="13"/>
      <c r="B277" s="13"/>
      <c r="C277" s="13"/>
      <c r="D277" s="13"/>
      <c r="E277" s="13"/>
      <c r="F277" s="13"/>
      <c r="G277" s="13"/>
      <c r="H277" s="17"/>
      <c r="I277" s="13"/>
      <c r="J277" s="13"/>
      <c r="K277" s="13"/>
    </row>
    <row r="278" spans="1:11" ht="24" customHeight="1">
      <c r="A278" s="13"/>
      <c r="B278" s="13"/>
      <c r="C278" s="13"/>
      <c r="D278" s="13"/>
      <c r="E278" s="13"/>
      <c r="F278" s="13"/>
      <c r="G278" s="13"/>
      <c r="H278" s="17"/>
      <c r="I278" s="13"/>
      <c r="J278" s="13"/>
      <c r="K278" s="13"/>
    </row>
    <row r="279" spans="1:11" ht="24" customHeight="1">
      <c r="A279" s="13"/>
      <c r="B279" s="13"/>
      <c r="C279" s="13"/>
      <c r="D279" s="13"/>
      <c r="E279" s="13"/>
      <c r="F279" s="13"/>
      <c r="G279" s="13"/>
      <c r="H279" s="17"/>
      <c r="I279" s="13"/>
      <c r="J279" s="13"/>
      <c r="K279" s="13"/>
    </row>
    <row r="280" spans="1:11" ht="24" customHeight="1">
      <c r="A280" s="13"/>
      <c r="B280" s="13"/>
      <c r="C280" s="13"/>
      <c r="D280" s="13"/>
      <c r="E280" s="13"/>
      <c r="F280" s="13"/>
      <c r="G280" s="13"/>
      <c r="H280" s="17"/>
      <c r="I280" s="13"/>
      <c r="J280" s="13"/>
      <c r="K280" s="13"/>
    </row>
    <row r="281" spans="1:11" ht="24" customHeight="1">
      <c r="A281" s="13"/>
      <c r="B281" s="13"/>
      <c r="C281" s="13"/>
      <c r="D281" s="13"/>
      <c r="E281" s="13"/>
      <c r="F281" s="13"/>
      <c r="G281" s="13"/>
      <c r="H281" s="17"/>
      <c r="I281" s="13"/>
      <c r="J281" s="13"/>
      <c r="K281" s="13"/>
    </row>
    <row r="282" spans="1:11" ht="24" customHeight="1">
      <c r="A282" s="13"/>
      <c r="B282" s="13"/>
      <c r="C282" s="13"/>
      <c r="D282" s="13"/>
      <c r="E282" s="13"/>
      <c r="F282" s="13"/>
      <c r="G282" s="13"/>
      <c r="H282" s="17"/>
      <c r="I282" s="13"/>
      <c r="J282" s="13"/>
      <c r="K282" s="13"/>
    </row>
    <row r="283" spans="1:11" ht="24" customHeight="1">
      <c r="A283" s="13"/>
      <c r="B283" s="13"/>
      <c r="C283" s="13"/>
      <c r="D283" s="13"/>
      <c r="E283" s="13"/>
      <c r="F283" s="13"/>
      <c r="G283" s="13"/>
      <c r="H283" s="17"/>
      <c r="I283" s="13"/>
      <c r="J283" s="13"/>
      <c r="K283" s="13"/>
    </row>
    <row r="284" spans="1:11" ht="24" customHeight="1">
      <c r="A284" s="13"/>
      <c r="B284" s="13"/>
      <c r="C284" s="13"/>
      <c r="D284" s="13"/>
      <c r="E284" s="13"/>
      <c r="F284" s="13"/>
      <c r="G284" s="13"/>
      <c r="H284" s="17"/>
      <c r="I284" s="13"/>
      <c r="J284" s="13"/>
      <c r="K284" s="13"/>
    </row>
    <row r="285" spans="1:11" ht="24" customHeight="1">
      <c r="A285" s="13"/>
      <c r="B285" s="13"/>
      <c r="C285" s="13"/>
      <c r="D285" s="13"/>
      <c r="E285" s="13"/>
      <c r="F285" s="13"/>
      <c r="G285" s="13"/>
      <c r="H285" s="17"/>
      <c r="I285" s="13"/>
      <c r="J285" s="13"/>
      <c r="K285" s="13"/>
    </row>
    <row r="286" spans="1:11" ht="24" customHeight="1">
      <c r="A286" s="13"/>
      <c r="B286" s="13"/>
      <c r="C286" s="13"/>
      <c r="D286" s="13"/>
      <c r="E286" s="13"/>
      <c r="F286" s="13"/>
      <c r="G286" s="13"/>
      <c r="H286" s="17"/>
      <c r="I286" s="13"/>
      <c r="J286" s="13"/>
      <c r="K286" s="13"/>
    </row>
    <row r="287" spans="1:11" ht="24" customHeight="1">
      <c r="A287" s="13"/>
      <c r="B287" s="13"/>
      <c r="C287" s="13"/>
      <c r="D287" s="13"/>
      <c r="E287" s="13"/>
      <c r="F287" s="13"/>
      <c r="G287" s="13"/>
      <c r="H287" s="17"/>
      <c r="I287" s="13"/>
      <c r="J287" s="13"/>
      <c r="K287" s="13"/>
    </row>
    <row r="288" spans="1:11" ht="24" customHeight="1">
      <c r="A288" s="13"/>
      <c r="B288" s="13"/>
      <c r="C288" s="13"/>
      <c r="D288" s="13"/>
      <c r="E288" s="13"/>
      <c r="F288" s="13"/>
      <c r="G288" s="13"/>
      <c r="H288" s="17"/>
      <c r="I288" s="13"/>
      <c r="J288" s="13"/>
      <c r="K288" s="13"/>
    </row>
    <row r="289" spans="1:11" ht="24" customHeight="1">
      <c r="A289" s="13"/>
      <c r="B289" s="13"/>
      <c r="C289" s="13"/>
      <c r="D289" s="13"/>
      <c r="E289" s="13"/>
      <c r="F289" s="13"/>
      <c r="G289" s="13"/>
      <c r="H289" s="17"/>
      <c r="I289" s="13"/>
      <c r="J289" s="13"/>
      <c r="K289" s="13"/>
    </row>
    <row r="290" spans="1:11" ht="24" customHeight="1">
      <c r="A290" s="13"/>
      <c r="B290" s="13"/>
      <c r="C290" s="13"/>
      <c r="D290" s="13"/>
      <c r="E290" s="13"/>
      <c r="F290" s="13"/>
      <c r="G290" s="13"/>
      <c r="H290" s="17"/>
      <c r="I290" s="13"/>
      <c r="J290" s="13"/>
      <c r="K290" s="13"/>
    </row>
    <row r="291" spans="1:11" ht="24" customHeight="1">
      <c r="A291" s="13"/>
      <c r="B291" s="13"/>
      <c r="C291" s="13"/>
      <c r="D291" s="13"/>
      <c r="E291" s="13"/>
      <c r="F291" s="13"/>
      <c r="G291" s="13"/>
      <c r="H291" s="17"/>
      <c r="I291" s="13"/>
      <c r="J291" s="13"/>
      <c r="K291" s="13"/>
    </row>
    <row r="292" spans="1:11" ht="24" customHeight="1">
      <c r="A292" s="13"/>
      <c r="B292" s="13"/>
      <c r="C292" s="13"/>
      <c r="D292" s="13"/>
      <c r="E292" s="13"/>
      <c r="F292" s="13"/>
      <c r="G292" s="13"/>
      <c r="H292" s="17"/>
      <c r="I292" s="13"/>
      <c r="J292" s="13"/>
      <c r="K292" s="13"/>
    </row>
    <row r="293" spans="1:11" ht="24" customHeight="1">
      <c r="A293" s="13"/>
      <c r="B293" s="13"/>
      <c r="C293" s="13"/>
      <c r="D293" s="13"/>
      <c r="E293" s="13"/>
      <c r="F293" s="13"/>
      <c r="G293" s="13"/>
      <c r="H293" s="17"/>
      <c r="I293" s="13"/>
      <c r="J293" s="13"/>
      <c r="K293" s="13"/>
    </row>
    <row r="294" spans="1:11" ht="24" customHeight="1">
      <c r="A294" s="13"/>
      <c r="B294" s="13"/>
      <c r="C294" s="13"/>
      <c r="D294" s="13"/>
      <c r="E294" s="13"/>
      <c r="F294" s="13"/>
      <c r="G294" s="13"/>
      <c r="H294" s="17"/>
      <c r="I294" s="13"/>
      <c r="J294" s="13"/>
      <c r="K294" s="13"/>
    </row>
    <row r="295" spans="1:11" ht="24" customHeight="1">
      <c r="A295" s="13"/>
      <c r="B295" s="13"/>
      <c r="C295" s="13"/>
      <c r="D295" s="13"/>
      <c r="E295" s="13"/>
      <c r="F295" s="13"/>
      <c r="G295" s="13"/>
      <c r="H295" s="17"/>
      <c r="I295" s="13"/>
      <c r="J295" s="13"/>
      <c r="K295" s="13"/>
    </row>
    <row r="296" spans="1:11" ht="24" customHeight="1">
      <c r="A296" s="13"/>
      <c r="B296" s="13"/>
      <c r="C296" s="13"/>
      <c r="D296" s="13"/>
      <c r="E296" s="13"/>
      <c r="F296" s="13"/>
      <c r="G296" s="13"/>
      <c r="H296" s="17"/>
      <c r="I296" s="13"/>
      <c r="J296" s="13"/>
      <c r="K296" s="13"/>
    </row>
    <row r="297" spans="1:11" ht="24" customHeight="1">
      <c r="A297" s="13"/>
      <c r="B297" s="13"/>
      <c r="C297" s="13"/>
      <c r="D297" s="13"/>
      <c r="E297" s="13"/>
      <c r="F297" s="13"/>
      <c r="G297" s="13"/>
      <c r="H297" s="17"/>
      <c r="I297" s="13"/>
      <c r="J297" s="13"/>
      <c r="K297" s="13"/>
    </row>
    <row r="298" spans="1:11" ht="24" customHeight="1">
      <c r="A298" s="13"/>
      <c r="B298" s="13"/>
      <c r="C298" s="13"/>
      <c r="D298" s="13"/>
      <c r="E298" s="13"/>
      <c r="F298" s="13"/>
      <c r="G298" s="13"/>
      <c r="H298" s="17"/>
      <c r="I298" s="13"/>
      <c r="J298" s="13"/>
      <c r="K298" s="13"/>
    </row>
    <row r="299" spans="1:11" ht="24" customHeight="1">
      <c r="A299" s="13"/>
      <c r="B299" s="13"/>
      <c r="C299" s="13"/>
      <c r="D299" s="13"/>
      <c r="E299" s="13"/>
      <c r="F299" s="13"/>
      <c r="G299" s="13"/>
      <c r="H299" s="17"/>
      <c r="I299" s="13"/>
      <c r="J299" s="13"/>
      <c r="K299" s="13"/>
    </row>
    <row r="300" spans="1:11" ht="24" customHeight="1">
      <c r="A300" s="13"/>
      <c r="B300" s="13"/>
      <c r="C300" s="13"/>
      <c r="D300" s="13"/>
      <c r="E300" s="13"/>
      <c r="F300" s="13"/>
      <c r="G300" s="13"/>
      <c r="H300" s="17"/>
      <c r="I300" s="13"/>
      <c r="J300" s="13"/>
      <c r="K300" s="13"/>
    </row>
    <row r="301" spans="1:11" ht="24" customHeight="1">
      <c r="A301" s="13"/>
      <c r="B301" s="13"/>
      <c r="C301" s="13"/>
      <c r="D301" s="13"/>
      <c r="E301" s="13"/>
      <c r="F301" s="13"/>
      <c r="G301" s="13"/>
      <c r="H301" s="17"/>
      <c r="I301" s="13"/>
      <c r="J301" s="13"/>
      <c r="K301" s="13"/>
    </row>
    <row r="302" spans="1:11" ht="24" customHeight="1">
      <c r="A302" s="13"/>
      <c r="B302" s="13"/>
      <c r="C302" s="13"/>
      <c r="D302" s="13"/>
      <c r="E302" s="13"/>
      <c r="F302" s="13"/>
      <c r="G302" s="13"/>
      <c r="H302" s="17"/>
      <c r="I302" s="13"/>
      <c r="J302" s="13"/>
      <c r="K302" s="13"/>
    </row>
    <row r="303" spans="1:11" ht="24" customHeight="1">
      <c r="A303" s="13"/>
      <c r="B303" s="13"/>
      <c r="C303" s="13"/>
      <c r="D303" s="13"/>
      <c r="E303" s="13"/>
      <c r="F303" s="13"/>
      <c r="G303" s="13"/>
      <c r="H303" s="17"/>
      <c r="I303" s="13"/>
      <c r="J303" s="13"/>
      <c r="K303" s="13"/>
    </row>
    <row r="304" spans="1:11" ht="24" customHeight="1">
      <c r="A304" s="13"/>
      <c r="B304" s="13"/>
      <c r="C304" s="13"/>
      <c r="D304" s="13"/>
      <c r="E304" s="13"/>
      <c r="F304" s="13"/>
      <c r="G304" s="13"/>
      <c r="H304" s="17"/>
      <c r="I304" s="13"/>
      <c r="J304" s="13"/>
      <c r="K304" s="13"/>
    </row>
    <row r="305" spans="1:11" ht="24" customHeight="1">
      <c r="A305" s="13"/>
      <c r="B305" s="13"/>
      <c r="C305" s="13"/>
      <c r="D305" s="13"/>
      <c r="E305" s="13"/>
      <c r="F305" s="13"/>
      <c r="G305" s="13"/>
      <c r="H305" s="17"/>
      <c r="I305" s="13"/>
      <c r="J305" s="13"/>
      <c r="K305" s="13"/>
    </row>
    <row r="306" spans="1:11" ht="24" customHeight="1">
      <c r="A306" s="13"/>
      <c r="B306" s="13"/>
      <c r="C306" s="13"/>
      <c r="D306" s="13"/>
      <c r="E306" s="13"/>
      <c r="F306" s="13"/>
      <c r="G306" s="13"/>
      <c r="H306" s="17"/>
      <c r="I306" s="13"/>
      <c r="J306" s="13"/>
      <c r="K306" s="13"/>
    </row>
    <row r="307" spans="1:11" ht="24" customHeight="1">
      <c r="A307" s="13"/>
      <c r="B307" s="13"/>
      <c r="C307" s="13"/>
      <c r="D307" s="13"/>
      <c r="E307" s="13"/>
      <c r="F307" s="13"/>
      <c r="G307" s="13"/>
      <c r="H307" s="17"/>
      <c r="I307" s="13"/>
      <c r="J307" s="13"/>
      <c r="K307" s="13"/>
    </row>
    <row r="308" spans="1:11" ht="24" customHeight="1">
      <c r="A308" s="13"/>
      <c r="B308" s="13"/>
      <c r="C308" s="13"/>
      <c r="D308" s="13"/>
      <c r="E308" s="13"/>
      <c r="F308" s="13"/>
      <c r="G308" s="13"/>
      <c r="H308" s="17"/>
      <c r="I308" s="13"/>
      <c r="J308" s="13"/>
      <c r="K308" s="13"/>
    </row>
    <row r="309" spans="1:11" ht="24" customHeight="1">
      <c r="A309" s="13"/>
      <c r="B309" s="13"/>
      <c r="C309" s="13"/>
      <c r="D309" s="13"/>
      <c r="E309" s="13"/>
      <c r="F309" s="13"/>
      <c r="G309" s="13"/>
      <c r="H309" s="17"/>
      <c r="I309" s="13"/>
      <c r="J309" s="13"/>
      <c r="K309" s="13"/>
    </row>
    <row r="310" spans="1:11" ht="24" customHeight="1">
      <c r="A310" s="13"/>
      <c r="B310" s="13"/>
      <c r="C310" s="13"/>
      <c r="D310" s="13"/>
      <c r="E310" s="13"/>
      <c r="F310" s="13"/>
      <c r="G310" s="13"/>
      <c r="H310" s="17"/>
      <c r="I310" s="13"/>
      <c r="J310" s="13"/>
      <c r="K310" s="13"/>
    </row>
    <row r="311" spans="1:11" ht="24" customHeight="1">
      <c r="A311" s="13"/>
      <c r="B311" s="13"/>
      <c r="C311" s="13"/>
      <c r="D311" s="13"/>
      <c r="E311" s="13"/>
      <c r="F311" s="13"/>
      <c r="G311" s="13"/>
      <c r="H311" s="17"/>
      <c r="I311" s="13"/>
      <c r="J311" s="13"/>
      <c r="K311" s="13"/>
    </row>
    <row r="312" spans="1:11" ht="24" customHeight="1">
      <c r="A312" s="13"/>
      <c r="B312" s="13"/>
      <c r="C312" s="13"/>
      <c r="D312" s="13"/>
      <c r="E312" s="13"/>
      <c r="F312" s="13"/>
      <c r="G312" s="13"/>
      <c r="H312" s="17"/>
      <c r="I312" s="13"/>
      <c r="J312" s="13"/>
      <c r="K312" s="13"/>
    </row>
  </sheetData>
  <mergeCells count="13">
    <mergeCell ref="A9:E9"/>
    <mergeCell ref="F9:K9"/>
    <mergeCell ref="A6:E6"/>
    <mergeCell ref="F6:K6"/>
    <mergeCell ref="A7:E7"/>
    <mergeCell ref="F7:K7"/>
    <mergeCell ref="A8:K8"/>
    <mergeCell ref="A2:K2"/>
    <mergeCell ref="A3:K3"/>
    <mergeCell ref="A4:E4"/>
    <mergeCell ref="F4:K4"/>
    <mergeCell ref="A5:E5"/>
    <mergeCell ref="F5:K5"/>
  </mergeCells>
  <conditionalFormatting sqref="K13:K312">
    <cfRule type="expression" dxfId="10" priority="1">
      <formula>AND($J13="N/A",K13="")</formula>
    </cfRule>
  </conditionalFormatting>
  <dataValidations count="3">
    <dataValidation type="list" allowBlank="1" showErrorMessage="1" errorTitle="Select a listed value" error="Use the dropdown. Project lists can be adapted in Lists or H_Status_Codes." sqref="A13:A312" ns2:uid="{00000000-0002-0000-0300-000000000000}">
      <formula1>PackageIDs</formula1>
    </dataValidation>
    <dataValidation type="list" allowBlank="1" showErrorMessage="1" errorTitle="Select a listed value" error="Use the dropdown. Project lists can be adapted in Lists or H_Status_Codes." sqref="I13:I312" ns2:uid="{00000000-0002-0000-0300-000001000000}">
      <formula1>FQDSections</formula1>
    </dataValidation>
    <dataValidation type="list" allowBlank="1" showErrorMessage="1" errorTitle="Select a listed value" error="Use the dropdown. Project lists can be adapted in Lists or H_Status_Codes." sqref="J13:J312" ns2:uid="{00000000-0002-0000-0300-000002000000}">
      <formula1>RecordStatuses</formula1>
    </dataValidation>
  </dataValidation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400-000000000000}">
  <sheetPr>
    <tabColor rgb="FF2B6E9F"/>
    <pageSetUpPr fitToPage="1"/>
  </sheetPr>
  <dimension ref="A1:E40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14" customWidth="1"/>
    <col min="2" max="2" width="65" customWidth="1"/>
    <col min="3" max="3" width="22" customWidth="1"/>
    <col min="4" max="4" width="24" customWidth="1"/>
    <col min="5" max="5" width="70" customWidth="1"/>
  </cols>
  <sheetData>
    <row r="1" spans="1:5" ht="9.9499999999999993" customHeight="1">
      <c r="A1" s="1"/>
      <c r="B1" s="1"/>
      <c r="C1" s="1"/>
      <c r="D1" s="1"/>
      <c r="E1" s="1"/>
    </row>
    <row r="2" spans="1:5" ht="27.95" customHeight="1">
      <c r="A2" s="27" t="s">
        <v>121</v>
      </c>
      <c r="B2" s="27"/>
      <c r="C2" s="27"/>
      <c r="D2" s="27"/>
      <c r="E2" s="27"/>
    </row>
    <row r="3" spans="1:5" ht="20.100000000000001" customHeight="1">
      <c r="A3" s="28" t="s">
        <v>66</v>
      </c>
      <c r="B3" s="28"/>
      <c r="C3" s="28"/>
      <c r="D3" s="28"/>
      <c r="E3" s="28"/>
    </row>
    <row r="4" spans="1:5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 t="str">
        <f>"Project ID: "&amp;IF('00_Project'!$B$7="","",'00_Project'!$B$7)</f>
        <v xml:space="preserve">Project ID: </v>
      </c>
      <c r="D4" s="29"/>
      <c r="E4" s="29"/>
    </row>
    <row r="5" spans="1:5" ht="26.1" customHeight="1">
      <c r="A5" s="29" t="str">
        <f>"Client / Owner: "&amp;IF('00_Project'!$B$8="","",'00_Project'!$B$8)</f>
        <v xml:space="preserve">Client / Owner: </v>
      </c>
      <c r="B5" s="29"/>
      <c r="C5" s="29" t="str">
        <f>"Contractor: "&amp;IF('00_Project'!$B$9="","",'00_Project'!$B$9)</f>
        <v xml:space="preserve">Contractor: </v>
      </c>
      <c r="D5" s="29"/>
      <c r="E5" s="29"/>
    </row>
    <row r="6" spans="1:5" ht="26.1" customHeight="1">
      <c r="A6" s="29" t="str">
        <f>"Project document ID: "&amp;IF('00_Project'!$B$11="","",'00_Project'!$B$11)</f>
        <v xml:space="preserve">Project document ID: </v>
      </c>
      <c r="B6" s="29"/>
      <c r="C6" s="29" t="str">
        <f>"Project revision: "&amp;IF('00_Project'!$B$12="","",'00_Project'!$B$12)</f>
        <v xml:space="preserve">Project revision: </v>
      </c>
      <c r="D6" s="29"/>
      <c r="E6" s="29"/>
    </row>
    <row r="7" spans="1:5" ht="24" customHeight="1">
      <c r="A7" s="30" t="str">
        <f>"Document status: "&amp;IF('00_Project'!$B$13="","",'00_Project'!$B$13)</f>
        <v>Document status: Draft</v>
      </c>
      <c r="B7" s="30"/>
      <c r="C7" s="30" t="str">
        <f>"Issue date: "&amp;IF('00_Project'!$B$17="","",TEXT('00_Project'!$B$17,"dd-mmm-yyyy"))</f>
        <v xml:space="preserve">Issue date: </v>
      </c>
      <c r="D7" s="30"/>
      <c r="E7" s="30"/>
    </row>
    <row r="8" spans="1:5" ht="44.1" customHeight="1">
      <c r="A8" s="25" t="s">
        <v>122</v>
      </c>
      <c r="B8" s="25"/>
      <c r="C8" s="25"/>
      <c r="D8" s="25"/>
      <c r="E8" s="25"/>
    </row>
    <row r="9" spans="1:5" ht="26.1" customHeight="1">
      <c r="A9" s="29" t="str">
        <f>"Prepared by: "&amp;IF('00_Project'!$B$14="","",'00_Project'!$B$14)</f>
        <v xml:space="preserve">Prepared by: </v>
      </c>
      <c r="B9" s="29"/>
      <c r="C9" s="29" t="str">
        <f>"Reviewed by: "&amp;IF('00_Project'!$B$15="","",'00_Project'!$B$15)&amp;" / Approved by: "&amp;IF('00_Project'!$B$16="","",'00_Project'!$B$16)</f>
        <v xml:space="preserve">Reviewed by:  / Approved by: </v>
      </c>
      <c r="D9" s="29"/>
      <c r="E9" s="29"/>
    </row>
    <row r="10" spans="1:5" ht="33.950000000000003" customHeight="1">
      <c r="A10" s="9" t="s">
        <v>101</v>
      </c>
      <c r="B10" s="18"/>
      <c r="C10" s="9"/>
      <c r="D10" s="9" t="s">
        <v>123</v>
      </c>
      <c r="E10" s="18"/>
    </row>
    <row r="11" spans="1:5" ht="9" customHeight="1">
      <c r="A11" s="1"/>
      <c r="B11" s="1"/>
      <c r="C11" s="1"/>
      <c r="D11" s="1"/>
      <c r="E11" s="1"/>
    </row>
    <row r="12" spans="1:5" ht="42" customHeight="1">
      <c r="A12" s="14" t="s">
        <v>124</v>
      </c>
      <c r="B12" s="14" t="s">
        <v>125</v>
      </c>
      <c r="C12" s="14" t="s">
        <v>126</v>
      </c>
      <c r="D12" s="14" t="s">
        <v>127</v>
      </c>
      <c r="E12" s="14" t="s">
        <v>128</v>
      </c>
    </row>
    <row r="13" spans="1:5" ht="24" customHeight="1">
      <c r="A13" s="19" t="s">
        <v>129</v>
      </c>
      <c r="B13" s="9" t="s">
        <v>130</v>
      </c>
      <c r="C13" s="9" t="s">
        <v>131</v>
      </c>
      <c r="D13" s="13"/>
      <c r="E13" s="13"/>
    </row>
    <row r="14" spans="1:5" ht="24" customHeight="1">
      <c r="A14" s="19" t="s">
        <v>132</v>
      </c>
      <c r="B14" s="9" t="s">
        <v>133</v>
      </c>
      <c r="C14" s="9" t="s">
        <v>131</v>
      </c>
      <c r="D14" s="13"/>
      <c r="E14" s="13"/>
    </row>
    <row r="15" spans="1:5" ht="24" customHeight="1">
      <c r="A15" s="19" t="s">
        <v>134</v>
      </c>
      <c r="B15" s="9" t="s">
        <v>135</v>
      </c>
      <c r="C15" s="9" t="s">
        <v>131</v>
      </c>
      <c r="D15" s="13"/>
      <c r="E15" s="13"/>
    </row>
    <row r="16" spans="1:5" ht="24" customHeight="1">
      <c r="A16" s="19" t="s">
        <v>136</v>
      </c>
      <c r="B16" s="9" t="s">
        <v>137</v>
      </c>
      <c r="C16" s="9" t="s">
        <v>131</v>
      </c>
      <c r="D16" s="13"/>
      <c r="E16" s="13"/>
    </row>
    <row r="17" spans="1:5" ht="24" customHeight="1">
      <c r="A17" s="19" t="s">
        <v>138</v>
      </c>
      <c r="B17" s="9" t="s">
        <v>139</v>
      </c>
      <c r="C17" s="9" t="s">
        <v>131</v>
      </c>
      <c r="D17" s="13"/>
      <c r="E17" s="13"/>
    </row>
    <row r="18" spans="1:5" ht="24" customHeight="1">
      <c r="A18" s="19" t="s">
        <v>140</v>
      </c>
      <c r="B18" s="9" t="s">
        <v>141</v>
      </c>
      <c r="C18" s="9" t="s">
        <v>142</v>
      </c>
      <c r="D18" s="13"/>
      <c r="E18" s="13"/>
    </row>
    <row r="19" spans="1:5" ht="24" customHeight="1">
      <c r="A19" s="19" t="s">
        <v>143</v>
      </c>
      <c r="B19" s="9" t="s">
        <v>144</v>
      </c>
      <c r="C19" s="9" t="s">
        <v>142</v>
      </c>
      <c r="D19" s="13"/>
      <c r="E19" s="13"/>
    </row>
    <row r="20" spans="1:5" ht="24" customHeight="1">
      <c r="A20" s="19" t="s">
        <v>145</v>
      </c>
      <c r="B20" s="9" t="s">
        <v>146</v>
      </c>
      <c r="C20" s="9" t="s">
        <v>142</v>
      </c>
      <c r="D20" s="13"/>
      <c r="E20" s="13"/>
    </row>
    <row r="21" spans="1:5" ht="24" customHeight="1">
      <c r="A21" s="19" t="s">
        <v>147</v>
      </c>
      <c r="B21" s="9" t="s">
        <v>148</v>
      </c>
      <c r="C21" s="9" t="s">
        <v>142</v>
      </c>
      <c r="D21" s="13"/>
      <c r="E21" s="13"/>
    </row>
    <row r="22" spans="1:5" ht="24" customHeight="1">
      <c r="A22" s="19" t="s">
        <v>149</v>
      </c>
      <c r="B22" s="9" t="s">
        <v>150</v>
      </c>
      <c r="C22" s="9" t="s">
        <v>142</v>
      </c>
      <c r="D22" s="13"/>
      <c r="E22" s="13"/>
    </row>
    <row r="23" spans="1:5" ht="24" customHeight="1">
      <c r="A23" s="19" t="s">
        <v>151</v>
      </c>
      <c r="B23" s="9" t="s">
        <v>152</v>
      </c>
      <c r="C23" s="9" t="s">
        <v>142</v>
      </c>
      <c r="D23" s="13"/>
      <c r="E23" s="13"/>
    </row>
    <row r="24" spans="1:5" ht="24" customHeight="1">
      <c r="A24" s="19" t="s">
        <v>153</v>
      </c>
      <c r="B24" s="9" t="s">
        <v>154</v>
      </c>
      <c r="C24" s="9" t="s">
        <v>142</v>
      </c>
      <c r="D24" s="13"/>
      <c r="E24" s="13"/>
    </row>
    <row r="25" spans="1:5" ht="24" customHeight="1">
      <c r="A25" s="19" t="s">
        <v>155</v>
      </c>
      <c r="B25" s="9" t="s">
        <v>156</v>
      </c>
      <c r="C25" s="9" t="s">
        <v>142</v>
      </c>
      <c r="D25" s="13"/>
      <c r="E25" s="13"/>
    </row>
    <row r="26" spans="1:5" ht="24" customHeight="1">
      <c r="A26" s="19" t="s">
        <v>157</v>
      </c>
      <c r="B26" s="9" t="s">
        <v>158</v>
      </c>
      <c r="C26" s="9" t="s">
        <v>142</v>
      </c>
      <c r="D26" s="13"/>
      <c r="E26" s="13"/>
    </row>
    <row r="27" spans="1:5" ht="24" customHeight="1">
      <c r="A27" s="19" t="s">
        <v>159</v>
      </c>
      <c r="B27" s="9" t="s">
        <v>160</v>
      </c>
      <c r="C27" s="9" t="s">
        <v>142</v>
      </c>
      <c r="D27" s="13"/>
      <c r="E27" s="13"/>
    </row>
    <row r="28" spans="1:5" ht="24" customHeight="1">
      <c r="A28" s="19" t="s">
        <v>161</v>
      </c>
      <c r="B28" s="9" t="s">
        <v>162</v>
      </c>
      <c r="C28" s="9" t="s">
        <v>142</v>
      </c>
      <c r="D28" s="13"/>
      <c r="E28" s="13"/>
    </row>
    <row r="29" spans="1:5" ht="24" customHeight="1">
      <c r="A29" s="19" t="s">
        <v>163</v>
      </c>
      <c r="B29" s="9" t="s">
        <v>164</v>
      </c>
      <c r="C29" s="9" t="s">
        <v>142</v>
      </c>
      <c r="D29" s="13"/>
      <c r="E29" s="13"/>
    </row>
    <row r="30" spans="1:5" ht="24" customHeight="1">
      <c r="A30" s="19" t="s">
        <v>165</v>
      </c>
      <c r="B30" s="9" t="s">
        <v>166</v>
      </c>
      <c r="C30" s="9" t="s">
        <v>142</v>
      </c>
      <c r="D30" s="13"/>
      <c r="E30" s="13"/>
    </row>
    <row r="31" spans="1:5" ht="24" customHeight="1">
      <c r="A31" s="19" t="s">
        <v>167</v>
      </c>
      <c r="B31" s="9" t="s">
        <v>168</v>
      </c>
      <c r="C31" s="9" t="s">
        <v>142</v>
      </c>
      <c r="D31" s="13"/>
      <c r="E31" s="13"/>
    </row>
    <row r="32" spans="1:5" ht="24" customHeight="1">
      <c r="A32" s="19" t="s">
        <v>169</v>
      </c>
      <c r="B32" s="9" t="s">
        <v>170</v>
      </c>
      <c r="C32" s="9" t="s">
        <v>142</v>
      </c>
      <c r="D32" s="13"/>
      <c r="E32" s="13"/>
    </row>
    <row r="33" spans="1:5" ht="24" customHeight="1">
      <c r="A33" s="19" t="s">
        <v>171</v>
      </c>
      <c r="B33" s="9" t="s">
        <v>172</v>
      </c>
      <c r="C33" s="9" t="s">
        <v>131</v>
      </c>
      <c r="D33" s="13"/>
      <c r="E33" s="13"/>
    </row>
    <row r="34" spans="1:5" ht="24" customHeight="1">
      <c r="A34" s="19" t="s">
        <v>173</v>
      </c>
      <c r="B34" s="9" t="s">
        <v>174</v>
      </c>
      <c r="C34" s="9" t="s">
        <v>131</v>
      </c>
      <c r="D34" s="13"/>
      <c r="E34" s="13"/>
    </row>
    <row r="35" spans="1:5" ht="24" customHeight="1">
      <c r="A35" s="1"/>
      <c r="B35" s="1"/>
      <c r="C35" s="1"/>
      <c r="D35" s="1"/>
      <c r="E35" s="1"/>
    </row>
    <row r="36" spans="1:5" ht="24" customHeight="1">
      <c r="A36" s="1"/>
      <c r="B36" s="1"/>
      <c r="C36" s="1"/>
      <c r="D36" s="1"/>
      <c r="E36" s="1"/>
    </row>
    <row r="37" spans="1:5" ht="24" customHeight="1">
      <c r="A37" s="1"/>
      <c r="B37" s="1"/>
      <c r="C37" s="1"/>
      <c r="D37" s="1"/>
      <c r="E37" s="1"/>
    </row>
    <row r="38" spans="1:5" ht="24" customHeight="1">
      <c r="A38" s="1"/>
      <c r="B38" s="1"/>
      <c r="C38" s="1"/>
      <c r="D38" s="1"/>
      <c r="E38" s="1"/>
    </row>
    <row r="39" spans="1:5" ht="24" customHeight="1">
      <c r="A39" s="1"/>
      <c r="B39" s="1"/>
      <c r="C39" s="1"/>
      <c r="D39" s="1"/>
      <c r="E39" s="1"/>
    </row>
    <row r="40" spans="1:5" ht="24" customHeight="1">
      <c r="A40" s="1"/>
      <c r="B40" s="1"/>
      <c r="C40" s="1"/>
      <c r="D40" s="1"/>
      <c r="E40" s="1"/>
    </row>
  </sheetData>
  <mergeCells count="13">
    <mergeCell ref="A9:B9"/>
    <mergeCell ref="C9:E9"/>
    <mergeCell ref="A6:B6"/>
    <mergeCell ref="C6:E6"/>
    <mergeCell ref="A7:B7"/>
    <mergeCell ref="C7:E7"/>
    <mergeCell ref="A8:E8"/>
    <mergeCell ref="A2:E2"/>
    <mergeCell ref="A3:E3"/>
    <mergeCell ref="A4:B4"/>
    <mergeCell ref="C4:E4"/>
    <mergeCell ref="A5:B5"/>
    <mergeCell ref="C5:E5"/>
  </mergeCells>
  <conditionalFormatting sqref="E13:E34">
    <cfRule type="expression" dxfId="9" priority="1">
      <formula>AND($D13="N/A",E13="")</formula>
    </cfRule>
  </conditionalFormatting>
  <dataValidations count="2">
    <dataValidation type="list" allowBlank="1" showErrorMessage="1" errorTitle="Select a listed value" error="Use the dropdown. Project lists can be adapted in Lists or H_Status_Codes." sqref="B10" ns2:uid="{00000000-0002-0000-0400-000000000000}">
      <formula1>PackageIDs</formula1>
    </dataValidation>
    <dataValidation type="list" allowBlank="1" showErrorMessage="1" errorTitle="Select a listed value" error="Use the dropdown. Project lists can be adapted in Lists or H_Status_Codes." sqref="D13:D34" ns2:uid="{00000000-0002-0000-0400-000001000000}">
      <formula1>ApplicabilityChoices</formula1>
    </dataValidation>
  </dataValidation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500-000000000000}">
  <sheetPr>
    <tabColor rgb="FF2B6E9F"/>
    <pageSetUpPr fitToPage="1"/>
  </sheetPr>
  <dimension ref="A1:H312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23" customWidth="1"/>
    <col min="2" max="2" width="15" customWidth="1"/>
    <col min="3" max="3" width="32" customWidth="1"/>
    <col min="4" max="4" width="50" customWidth="1"/>
    <col min="5" max="5" width="14" customWidth="1"/>
    <col min="6" max="6" width="29" customWidth="1"/>
    <col min="7" max="7" width="62" customWidth="1"/>
    <col min="8" max="8" width="22" customWidth="1"/>
  </cols>
  <sheetData>
    <row r="1" spans="1:8" ht="9.9499999999999993" customHeight="1">
      <c r="A1" s="1"/>
      <c r="B1" s="1"/>
      <c r="C1" s="1"/>
      <c r="D1" s="1"/>
      <c r="E1" s="1"/>
      <c r="F1" s="1"/>
      <c r="G1" s="1"/>
      <c r="H1" s="1"/>
    </row>
    <row r="2" spans="1:8" ht="27.95" customHeight="1">
      <c r="A2" s="27" t="s">
        <v>175</v>
      </c>
      <c r="B2" s="27"/>
      <c r="C2" s="27"/>
      <c r="D2" s="27"/>
      <c r="E2" s="27"/>
      <c r="F2" s="27"/>
      <c r="G2" s="27"/>
      <c r="H2" s="27"/>
    </row>
    <row r="3" spans="1:8" ht="20.100000000000001" customHeight="1">
      <c r="A3" s="28" t="s">
        <v>66</v>
      </c>
      <c r="B3" s="28"/>
      <c r="C3" s="28"/>
      <c r="D3" s="28"/>
      <c r="E3" s="28"/>
      <c r="F3" s="28"/>
      <c r="G3" s="28"/>
      <c r="H3" s="28"/>
    </row>
    <row r="4" spans="1:8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/>
      <c r="D4" s="29"/>
      <c r="E4" s="29" t="str">
        <f>"Project ID: "&amp;IF('00_Project'!$B$7="","",'00_Project'!$B$7)</f>
        <v xml:space="preserve">Project ID: </v>
      </c>
      <c r="F4" s="29"/>
      <c r="G4" s="29"/>
      <c r="H4" s="29"/>
    </row>
    <row r="5" spans="1:8" ht="26.1" customHeight="1">
      <c r="A5" s="29" t="str">
        <f>"Client / Owner: "&amp;IF('00_Project'!$B$8="","",'00_Project'!$B$8)</f>
        <v xml:space="preserve">Client / Owner: </v>
      </c>
      <c r="B5" s="29"/>
      <c r="C5" s="29"/>
      <c r="D5" s="29"/>
      <c r="E5" s="29" t="str">
        <f>"Contractor: "&amp;IF('00_Project'!$B$9="","",'00_Project'!$B$9)</f>
        <v xml:space="preserve">Contractor: </v>
      </c>
      <c r="F5" s="29"/>
      <c r="G5" s="29"/>
      <c r="H5" s="29"/>
    </row>
    <row r="6" spans="1:8" ht="26.1" customHeight="1">
      <c r="A6" s="29" t="str">
        <f>"Project document ID: "&amp;IF('00_Project'!$B$11="","",'00_Project'!$B$11)</f>
        <v xml:space="preserve">Project document ID: </v>
      </c>
      <c r="B6" s="29"/>
      <c r="C6" s="29"/>
      <c r="D6" s="29"/>
      <c r="E6" s="29" t="str">
        <f>"Project revision: "&amp;IF('00_Project'!$B$12="","",'00_Project'!$B$12)</f>
        <v xml:space="preserve">Project revision: </v>
      </c>
      <c r="F6" s="29"/>
      <c r="G6" s="29"/>
      <c r="H6" s="29"/>
    </row>
    <row r="7" spans="1:8" ht="24" customHeight="1">
      <c r="A7" s="30" t="str">
        <f>"Document status: "&amp;IF('00_Project'!$B$13="","",'00_Project'!$B$13)</f>
        <v>Document status: Draft</v>
      </c>
      <c r="B7" s="30"/>
      <c r="C7" s="30"/>
      <c r="D7" s="30"/>
      <c r="E7" s="30" t="str">
        <f>"Issue date: "&amp;IF('00_Project'!$B$17="","",TEXT('00_Project'!$B$17,"dd-mmm-yyyy"))</f>
        <v xml:space="preserve">Issue date: </v>
      </c>
      <c r="F7" s="30"/>
      <c r="G7" s="30"/>
      <c r="H7" s="30"/>
    </row>
    <row r="8" spans="1:8" ht="44.1" customHeight="1">
      <c r="A8" s="25" t="s">
        <v>176</v>
      </c>
      <c r="B8" s="25"/>
      <c r="C8" s="25"/>
      <c r="D8" s="25"/>
      <c r="E8" s="25"/>
      <c r="F8" s="25"/>
      <c r="G8" s="25"/>
      <c r="H8" s="25"/>
    </row>
    <row r="9" spans="1:8" ht="26.1" customHeight="1">
      <c r="A9" s="29" t="str">
        <f>"Prepared by: "&amp;IF('00_Project'!$B$14="","",'00_Project'!$B$14)</f>
        <v xml:space="preserve">Prepared by: </v>
      </c>
      <c r="B9" s="29"/>
      <c r="C9" s="29"/>
      <c r="D9" s="29"/>
      <c r="E9" s="29" t="str">
        <f>"Reviewed by: "&amp;IF('00_Project'!$B$15="","",'00_Project'!$B$15)&amp;" / Approved by: "&amp;IF('00_Project'!$B$16="","",'00_Project'!$B$16)</f>
        <v xml:space="preserve">Reviewed by:  / Approved by: </v>
      </c>
      <c r="F9" s="29"/>
      <c r="G9" s="29"/>
      <c r="H9" s="29"/>
    </row>
    <row r="10" spans="1:8" ht="24" customHeight="1">
      <c r="A10" s="1"/>
      <c r="B10" s="1"/>
      <c r="C10" s="1"/>
      <c r="D10" s="1"/>
      <c r="E10" s="1"/>
      <c r="F10" s="1"/>
      <c r="G10" s="1"/>
      <c r="H10" s="1"/>
    </row>
    <row r="11" spans="1:8" ht="9" customHeight="1">
      <c r="A11" s="1"/>
      <c r="B11" s="1"/>
      <c r="C11" s="1"/>
      <c r="D11" s="1"/>
      <c r="E11" s="1"/>
      <c r="F11" s="1"/>
      <c r="G11" s="1"/>
      <c r="H11" s="1"/>
    </row>
    <row r="12" spans="1:8" ht="42" customHeight="1">
      <c r="A12" s="14" t="s">
        <v>101</v>
      </c>
      <c r="B12" s="14" t="s">
        <v>119</v>
      </c>
      <c r="C12" s="14" t="s">
        <v>177</v>
      </c>
      <c r="D12" s="14" t="s">
        <v>178</v>
      </c>
      <c r="E12" s="14" t="s">
        <v>179</v>
      </c>
      <c r="F12" s="14" t="s">
        <v>108</v>
      </c>
      <c r="G12" s="14" t="s">
        <v>180</v>
      </c>
      <c r="H12" s="14" t="s">
        <v>181</v>
      </c>
    </row>
    <row r="13" spans="1:8" ht="24" customHeight="1">
      <c r="A13" s="13"/>
      <c r="B13" s="13"/>
      <c r="C13" s="16"/>
      <c r="D13" s="13"/>
      <c r="E13" s="16"/>
      <c r="F13" s="13"/>
      <c r="G13" s="13"/>
      <c r="H13" s="13"/>
    </row>
    <row r="14" spans="1:8" ht="24" customHeight="1">
      <c r="A14" s="13"/>
      <c r="B14" s="13"/>
      <c r="C14" s="16"/>
      <c r="D14" s="13"/>
      <c r="E14" s="16"/>
      <c r="F14" s="13"/>
      <c r="G14" s="13"/>
      <c r="H14" s="13"/>
    </row>
    <row r="15" spans="1:8" ht="24" customHeight="1">
      <c r="A15" s="13"/>
      <c r="B15" s="13"/>
      <c r="C15" s="16"/>
      <c r="D15" s="13"/>
      <c r="E15" s="16"/>
      <c r="F15" s="13"/>
      <c r="G15" s="13"/>
      <c r="H15" s="13"/>
    </row>
    <row r="16" spans="1:8" ht="24" customHeight="1">
      <c r="A16" s="13"/>
      <c r="B16" s="13"/>
      <c r="C16" s="16"/>
      <c r="D16" s="13"/>
      <c r="E16" s="16"/>
      <c r="F16" s="13"/>
      <c r="G16" s="13"/>
      <c r="H16" s="13"/>
    </row>
    <row r="17" spans="1:8" ht="24" customHeight="1">
      <c r="A17" s="13"/>
      <c r="B17" s="13"/>
      <c r="C17" s="16"/>
      <c r="D17" s="13"/>
      <c r="E17" s="16"/>
      <c r="F17" s="13"/>
      <c r="G17" s="13"/>
      <c r="H17" s="13"/>
    </row>
    <row r="18" spans="1:8" ht="24" customHeight="1">
      <c r="A18" s="13"/>
      <c r="B18" s="13"/>
      <c r="C18" s="16"/>
      <c r="D18" s="13"/>
      <c r="E18" s="16"/>
      <c r="F18" s="13"/>
      <c r="G18" s="13"/>
      <c r="H18" s="13"/>
    </row>
    <row r="19" spans="1:8" ht="24" customHeight="1">
      <c r="A19" s="13"/>
      <c r="B19" s="13"/>
      <c r="C19" s="16"/>
      <c r="D19" s="13"/>
      <c r="E19" s="16"/>
      <c r="F19" s="13"/>
      <c r="G19" s="13"/>
      <c r="H19" s="13"/>
    </row>
    <row r="20" spans="1:8" ht="24" customHeight="1">
      <c r="A20" s="13"/>
      <c r="B20" s="13"/>
      <c r="C20" s="16"/>
      <c r="D20" s="13"/>
      <c r="E20" s="16"/>
      <c r="F20" s="13"/>
      <c r="G20" s="13"/>
      <c r="H20" s="13"/>
    </row>
    <row r="21" spans="1:8" ht="24" customHeight="1">
      <c r="A21" s="13"/>
      <c r="B21" s="13"/>
      <c r="C21" s="16"/>
      <c r="D21" s="13"/>
      <c r="E21" s="16"/>
      <c r="F21" s="13"/>
      <c r="G21" s="13"/>
      <c r="H21" s="13"/>
    </row>
    <row r="22" spans="1:8" ht="24" customHeight="1">
      <c r="A22" s="13"/>
      <c r="B22" s="13"/>
      <c r="C22" s="16"/>
      <c r="D22" s="13"/>
      <c r="E22" s="16"/>
      <c r="F22" s="13"/>
      <c r="G22" s="13"/>
      <c r="H22" s="13"/>
    </row>
    <row r="23" spans="1:8" ht="24" customHeight="1">
      <c r="A23" s="13"/>
      <c r="B23" s="13"/>
      <c r="C23" s="16"/>
      <c r="D23" s="13"/>
      <c r="E23" s="16"/>
      <c r="F23" s="13"/>
      <c r="G23" s="13"/>
      <c r="H23" s="13"/>
    </row>
    <row r="24" spans="1:8" ht="24" customHeight="1">
      <c r="A24" s="13"/>
      <c r="B24" s="13"/>
      <c r="C24" s="16"/>
      <c r="D24" s="13"/>
      <c r="E24" s="16"/>
      <c r="F24" s="13"/>
      <c r="G24" s="13"/>
      <c r="H24" s="13"/>
    </row>
    <row r="25" spans="1:8" ht="24" customHeight="1">
      <c r="A25" s="13"/>
      <c r="B25" s="13"/>
      <c r="C25" s="16"/>
      <c r="D25" s="13"/>
      <c r="E25" s="16"/>
      <c r="F25" s="13"/>
      <c r="G25" s="13"/>
      <c r="H25" s="13"/>
    </row>
    <row r="26" spans="1:8" ht="24" customHeight="1">
      <c r="A26" s="13"/>
      <c r="B26" s="13"/>
      <c r="C26" s="16"/>
      <c r="D26" s="13"/>
      <c r="E26" s="16"/>
      <c r="F26" s="13"/>
      <c r="G26" s="13"/>
      <c r="H26" s="13"/>
    </row>
    <row r="27" spans="1:8" ht="24" customHeight="1">
      <c r="A27" s="13"/>
      <c r="B27" s="13"/>
      <c r="C27" s="16"/>
      <c r="D27" s="13"/>
      <c r="E27" s="16"/>
      <c r="F27" s="13"/>
      <c r="G27" s="13"/>
      <c r="H27" s="13"/>
    </row>
    <row r="28" spans="1:8" ht="24" customHeight="1">
      <c r="A28" s="13"/>
      <c r="B28" s="13"/>
      <c r="C28" s="16"/>
      <c r="D28" s="13"/>
      <c r="E28" s="16"/>
      <c r="F28" s="13"/>
      <c r="G28" s="13"/>
      <c r="H28" s="13"/>
    </row>
    <row r="29" spans="1:8" ht="24" customHeight="1">
      <c r="A29" s="13"/>
      <c r="B29" s="13"/>
      <c r="C29" s="16"/>
      <c r="D29" s="13"/>
      <c r="E29" s="16"/>
      <c r="F29" s="13"/>
      <c r="G29" s="13"/>
      <c r="H29" s="13"/>
    </row>
    <row r="30" spans="1:8" ht="24" customHeight="1">
      <c r="A30" s="13"/>
      <c r="B30" s="13"/>
      <c r="C30" s="16"/>
      <c r="D30" s="13"/>
      <c r="E30" s="16"/>
      <c r="F30" s="13"/>
      <c r="G30" s="13"/>
      <c r="H30" s="13"/>
    </row>
    <row r="31" spans="1:8" ht="24" customHeight="1">
      <c r="A31" s="13"/>
      <c r="B31" s="13"/>
      <c r="C31" s="16"/>
      <c r="D31" s="13"/>
      <c r="E31" s="16"/>
      <c r="F31" s="13"/>
      <c r="G31" s="13"/>
      <c r="H31" s="13"/>
    </row>
    <row r="32" spans="1:8" ht="24" customHeight="1">
      <c r="A32" s="13"/>
      <c r="B32" s="13"/>
      <c r="C32" s="16"/>
      <c r="D32" s="13"/>
      <c r="E32" s="16"/>
      <c r="F32" s="13"/>
      <c r="G32" s="13"/>
      <c r="H32" s="13"/>
    </row>
    <row r="33" spans="1:8" ht="24" customHeight="1">
      <c r="A33" s="13"/>
      <c r="B33" s="13"/>
      <c r="C33" s="16"/>
      <c r="D33" s="13"/>
      <c r="E33" s="16"/>
      <c r="F33" s="13"/>
      <c r="G33" s="13"/>
      <c r="H33" s="13"/>
    </row>
    <row r="34" spans="1:8" ht="24" customHeight="1">
      <c r="A34" s="13"/>
      <c r="B34" s="13"/>
      <c r="C34" s="16"/>
      <c r="D34" s="13"/>
      <c r="E34" s="16"/>
      <c r="F34" s="13"/>
      <c r="G34" s="13"/>
      <c r="H34" s="13"/>
    </row>
    <row r="35" spans="1:8" ht="24" customHeight="1">
      <c r="A35" s="13"/>
      <c r="B35" s="13"/>
      <c r="C35" s="16"/>
      <c r="D35" s="13"/>
      <c r="E35" s="16"/>
      <c r="F35" s="13"/>
      <c r="G35" s="13"/>
      <c r="H35" s="13"/>
    </row>
    <row r="36" spans="1:8" ht="24" customHeight="1">
      <c r="A36" s="13"/>
      <c r="B36" s="13"/>
      <c r="C36" s="16"/>
      <c r="D36" s="13"/>
      <c r="E36" s="16"/>
      <c r="F36" s="13"/>
      <c r="G36" s="13"/>
      <c r="H36" s="13"/>
    </row>
    <row r="37" spans="1:8" ht="24" customHeight="1">
      <c r="A37" s="13"/>
      <c r="B37" s="13"/>
      <c r="C37" s="16"/>
      <c r="D37" s="13"/>
      <c r="E37" s="16"/>
      <c r="F37" s="13"/>
      <c r="G37" s="13"/>
      <c r="H37" s="13"/>
    </row>
    <row r="38" spans="1:8" ht="24" customHeight="1">
      <c r="A38" s="13"/>
      <c r="B38" s="13"/>
      <c r="C38" s="16"/>
      <c r="D38" s="13"/>
      <c r="E38" s="16"/>
      <c r="F38" s="13"/>
      <c r="G38" s="13"/>
      <c r="H38" s="13"/>
    </row>
    <row r="39" spans="1:8" ht="24" customHeight="1">
      <c r="A39" s="13"/>
      <c r="B39" s="13"/>
      <c r="C39" s="16"/>
      <c r="D39" s="13"/>
      <c r="E39" s="16"/>
      <c r="F39" s="13"/>
      <c r="G39" s="13"/>
      <c r="H39" s="13"/>
    </row>
    <row r="40" spans="1:8" ht="24" customHeight="1">
      <c r="A40" s="13"/>
      <c r="B40" s="13"/>
      <c r="C40" s="16"/>
      <c r="D40" s="13"/>
      <c r="E40" s="16"/>
      <c r="F40" s="13"/>
      <c r="G40" s="13"/>
      <c r="H40" s="13"/>
    </row>
    <row r="41" spans="1:8" ht="24" customHeight="1">
      <c r="A41" s="13"/>
      <c r="B41" s="13"/>
      <c r="C41" s="16"/>
      <c r="D41" s="13"/>
      <c r="E41" s="16"/>
      <c r="F41" s="13"/>
      <c r="G41" s="13"/>
      <c r="H41" s="13"/>
    </row>
    <row r="42" spans="1:8" ht="24" customHeight="1">
      <c r="A42" s="13"/>
      <c r="B42" s="13"/>
      <c r="C42" s="16"/>
      <c r="D42" s="13"/>
      <c r="E42" s="16"/>
      <c r="F42" s="13"/>
      <c r="G42" s="13"/>
      <c r="H42" s="13"/>
    </row>
    <row r="43" spans="1:8" ht="24" customHeight="1">
      <c r="A43" s="13"/>
      <c r="B43" s="13"/>
      <c r="C43" s="16"/>
      <c r="D43" s="13"/>
      <c r="E43" s="16"/>
      <c r="F43" s="13"/>
      <c r="G43" s="13"/>
      <c r="H43" s="13"/>
    </row>
    <row r="44" spans="1:8" ht="24" customHeight="1">
      <c r="A44" s="13"/>
      <c r="B44" s="13"/>
      <c r="C44" s="16"/>
      <c r="D44" s="13"/>
      <c r="E44" s="16"/>
      <c r="F44" s="13"/>
      <c r="G44" s="13"/>
      <c r="H44" s="13"/>
    </row>
    <row r="45" spans="1:8" ht="24" customHeight="1">
      <c r="A45" s="13"/>
      <c r="B45" s="13"/>
      <c r="C45" s="16"/>
      <c r="D45" s="13"/>
      <c r="E45" s="16"/>
      <c r="F45" s="13"/>
      <c r="G45" s="13"/>
      <c r="H45" s="13"/>
    </row>
    <row r="46" spans="1:8" ht="24" customHeight="1">
      <c r="A46" s="13"/>
      <c r="B46" s="13"/>
      <c r="C46" s="16"/>
      <c r="D46" s="13"/>
      <c r="E46" s="16"/>
      <c r="F46" s="13"/>
      <c r="G46" s="13"/>
      <c r="H46" s="13"/>
    </row>
    <row r="47" spans="1:8" ht="24" customHeight="1">
      <c r="A47" s="13"/>
      <c r="B47" s="13"/>
      <c r="C47" s="16"/>
      <c r="D47" s="13"/>
      <c r="E47" s="16"/>
      <c r="F47" s="13"/>
      <c r="G47" s="13"/>
      <c r="H47" s="13"/>
    </row>
    <row r="48" spans="1:8" ht="24" customHeight="1">
      <c r="A48" s="13"/>
      <c r="B48" s="13"/>
      <c r="C48" s="16"/>
      <c r="D48" s="13"/>
      <c r="E48" s="16"/>
      <c r="F48" s="13"/>
      <c r="G48" s="13"/>
      <c r="H48" s="13"/>
    </row>
    <row r="49" spans="1:8" ht="24" customHeight="1">
      <c r="A49" s="13"/>
      <c r="B49" s="13"/>
      <c r="C49" s="16"/>
      <c r="D49" s="13"/>
      <c r="E49" s="16"/>
      <c r="F49" s="13"/>
      <c r="G49" s="13"/>
      <c r="H49" s="13"/>
    </row>
    <row r="50" spans="1:8" ht="24" customHeight="1">
      <c r="A50" s="13"/>
      <c r="B50" s="13"/>
      <c r="C50" s="16"/>
      <c r="D50" s="13"/>
      <c r="E50" s="16"/>
      <c r="F50" s="13"/>
      <c r="G50" s="13"/>
      <c r="H50" s="13"/>
    </row>
    <row r="51" spans="1:8" ht="24" customHeight="1">
      <c r="A51" s="13"/>
      <c r="B51" s="13"/>
      <c r="C51" s="16"/>
      <c r="D51" s="13"/>
      <c r="E51" s="16"/>
      <c r="F51" s="13"/>
      <c r="G51" s="13"/>
      <c r="H51" s="13"/>
    </row>
    <row r="52" spans="1:8" ht="24" customHeight="1">
      <c r="A52" s="13"/>
      <c r="B52" s="13"/>
      <c r="C52" s="16"/>
      <c r="D52" s="13"/>
      <c r="E52" s="16"/>
      <c r="F52" s="13"/>
      <c r="G52" s="13"/>
      <c r="H52" s="13"/>
    </row>
    <row r="53" spans="1:8" ht="24" customHeight="1">
      <c r="A53" s="13"/>
      <c r="B53" s="13"/>
      <c r="C53" s="16"/>
      <c r="D53" s="13"/>
      <c r="E53" s="16"/>
      <c r="F53" s="13"/>
      <c r="G53" s="13"/>
      <c r="H53" s="13"/>
    </row>
    <row r="54" spans="1:8" ht="24" customHeight="1">
      <c r="A54" s="13"/>
      <c r="B54" s="13"/>
      <c r="C54" s="16"/>
      <c r="D54" s="13"/>
      <c r="E54" s="16"/>
      <c r="F54" s="13"/>
      <c r="G54" s="13"/>
      <c r="H54" s="13"/>
    </row>
    <row r="55" spans="1:8" ht="24" customHeight="1">
      <c r="A55" s="13"/>
      <c r="B55" s="13"/>
      <c r="C55" s="16"/>
      <c r="D55" s="13"/>
      <c r="E55" s="16"/>
      <c r="F55" s="13"/>
      <c r="G55" s="13"/>
      <c r="H55" s="13"/>
    </row>
    <row r="56" spans="1:8" ht="24" customHeight="1">
      <c r="A56" s="13"/>
      <c r="B56" s="13"/>
      <c r="C56" s="16"/>
      <c r="D56" s="13"/>
      <c r="E56" s="16"/>
      <c r="F56" s="13"/>
      <c r="G56" s="13"/>
      <c r="H56" s="13"/>
    </row>
    <row r="57" spans="1:8" ht="24" customHeight="1">
      <c r="A57" s="13"/>
      <c r="B57" s="13"/>
      <c r="C57" s="16"/>
      <c r="D57" s="13"/>
      <c r="E57" s="16"/>
      <c r="F57" s="13"/>
      <c r="G57" s="13"/>
      <c r="H57" s="13"/>
    </row>
    <row r="58" spans="1:8" ht="24" customHeight="1">
      <c r="A58" s="13"/>
      <c r="B58" s="13"/>
      <c r="C58" s="16"/>
      <c r="D58" s="13"/>
      <c r="E58" s="16"/>
      <c r="F58" s="13"/>
      <c r="G58" s="13"/>
      <c r="H58" s="13"/>
    </row>
    <row r="59" spans="1:8" ht="24" customHeight="1">
      <c r="A59" s="13"/>
      <c r="B59" s="13"/>
      <c r="C59" s="16"/>
      <c r="D59" s="13"/>
      <c r="E59" s="16"/>
      <c r="F59" s="13"/>
      <c r="G59" s="13"/>
      <c r="H59" s="13"/>
    </row>
    <row r="60" spans="1:8" ht="24" customHeight="1">
      <c r="A60" s="13"/>
      <c r="B60" s="13"/>
      <c r="C60" s="16"/>
      <c r="D60" s="13"/>
      <c r="E60" s="16"/>
      <c r="F60" s="13"/>
      <c r="G60" s="13"/>
      <c r="H60" s="13"/>
    </row>
    <row r="61" spans="1:8" ht="24" customHeight="1">
      <c r="A61" s="13"/>
      <c r="B61" s="13"/>
      <c r="C61" s="16"/>
      <c r="D61" s="13"/>
      <c r="E61" s="16"/>
      <c r="F61" s="13"/>
      <c r="G61" s="13"/>
      <c r="H61" s="13"/>
    </row>
    <row r="62" spans="1:8" ht="24" customHeight="1">
      <c r="A62" s="13"/>
      <c r="B62" s="13"/>
      <c r="C62" s="16"/>
      <c r="D62" s="13"/>
      <c r="E62" s="16"/>
      <c r="F62" s="13"/>
      <c r="G62" s="13"/>
      <c r="H62" s="13"/>
    </row>
    <row r="63" spans="1:8" ht="24" customHeight="1">
      <c r="A63" s="13"/>
      <c r="B63" s="13"/>
      <c r="C63" s="16"/>
      <c r="D63" s="13"/>
      <c r="E63" s="16"/>
      <c r="F63" s="13"/>
      <c r="G63" s="13"/>
      <c r="H63" s="13"/>
    </row>
    <row r="64" spans="1:8" ht="24" customHeight="1">
      <c r="A64" s="13"/>
      <c r="B64" s="13"/>
      <c r="C64" s="16"/>
      <c r="D64" s="13"/>
      <c r="E64" s="16"/>
      <c r="F64" s="13"/>
      <c r="G64" s="13"/>
      <c r="H64" s="13"/>
    </row>
    <row r="65" spans="1:8" ht="24" customHeight="1">
      <c r="A65" s="13"/>
      <c r="B65" s="13"/>
      <c r="C65" s="16"/>
      <c r="D65" s="13"/>
      <c r="E65" s="16"/>
      <c r="F65" s="13"/>
      <c r="G65" s="13"/>
      <c r="H65" s="13"/>
    </row>
    <row r="66" spans="1:8" ht="24" customHeight="1">
      <c r="A66" s="13"/>
      <c r="B66" s="13"/>
      <c r="C66" s="16"/>
      <c r="D66" s="13"/>
      <c r="E66" s="16"/>
      <c r="F66" s="13"/>
      <c r="G66" s="13"/>
      <c r="H66" s="13"/>
    </row>
    <row r="67" spans="1:8" ht="24" customHeight="1">
      <c r="A67" s="13"/>
      <c r="B67" s="13"/>
      <c r="C67" s="16"/>
      <c r="D67" s="13"/>
      <c r="E67" s="16"/>
      <c r="F67" s="13"/>
      <c r="G67" s="13"/>
      <c r="H67" s="13"/>
    </row>
    <row r="68" spans="1:8" ht="24" customHeight="1">
      <c r="A68" s="13"/>
      <c r="B68" s="13"/>
      <c r="C68" s="16"/>
      <c r="D68" s="13"/>
      <c r="E68" s="16"/>
      <c r="F68" s="13"/>
      <c r="G68" s="13"/>
      <c r="H68" s="13"/>
    </row>
    <row r="69" spans="1:8" ht="24" customHeight="1">
      <c r="A69" s="13"/>
      <c r="B69" s="13"/>
      <c r="C69" s="16"/>
      <c r="D69" s="13"/>
      <c r="E69" s="16"/>
      <c r="F69" s="13"/>
      <c r="G69" s="13"/>
      <c r="H69" s="13"/>
    </row>
    <row r="70" spans="1:8" ht="24" customHeight="1">
      <c r="A70" s="13"/>
      <c r="B70" s="13"/>
      <c r="C70" s="16"/>
      <c r="D70" s="13"/>
      <c r="E70" s="16"/>
      <c r="F70" s="13"/>
      <c r="G70" s="13"/>
      <c r="H70" s="13"/>
    </row>
    <row r="71" spans="1:8" ht="24" customHeight="1">
      <c r="A71" s="13"/>
      <c r="B71" s="13"/>
      <c r="C71" s="16"/>
      <c r="D71" s="13"/>
      <c r="E71" s="16"/>
      <c r="F71" s="13"/>
      <c r="G71" s="13"/>
      <c r="H71" s="13"/>
    </row>
    <row r="72" spans="1:8" ht="24" customHeight="1">
      <c r="A72" s="13"/>
      <c r="B72" s="13"/>
      <c r="C72" s="16"/>
      <c r="D72" s="13"/>
      <c r="E72" s="16"/>
      <c r="F72" s="13"/>
      <c r="G72" s="13"/>
      <c r="H72" s="13"/>
    </row>
    <row r="73" spans="1:8" ht="24" customHeight="1">
      <c r="A73" s="13"/>
      <c r="B73" s="13"/>
      <c r="C73" s="16"/>
      <c r="D73" s="13"/>
      <c r="E73" s="16"/>
      <c r="F73" s="13"/>
      <c r="G73" s="13"/>
      <c r="H73" s="13"/>
    </row>
    <row r="74" spans="1:8" ht="24" customHeight="1">
      <c r="A74" s="13"/>
      <c r="B74" s="13"/>
      <c r="C74" s="16"/>
      <c r="D74" s="13"/>
      <c r="E74" s="16"/>
      <c r="F74" s="13"/>
      <c r="G74" s="13"/>
      <c r="H74" s="13"/>
    </row>
    <row r="75" spans="1:8" ht="24" customHeight="1">
      <c r="A75" s="13"/>
      <c r="B75" s="13"/>
      <c r="C75" s="16"/>
      <c r="D75" s="13"/>
      <c r="E75" s="16"/>
      <c r="F75" s="13"/>
      <c r="G75" s="13"/>
      <c r="H75" s="13"/>
    </row>
    <row r="76" spans="1:8" ht="24" customHeight="1">
      <c r="A76" s="13"/>
      <c r="B76" s="13"/>
      <c r="C76" s="16"/>
      <c r="D76" s="13"/>
      <c r="E76" s="16"/>
      <c r="F76" s="13"/>
      <c r="G76" s="13"/>
      <c r="H76" s="13"/>
    </row>
    <row r="77" spans="1:8" ht="24" customHeight="1">
      <c r="A77" s="13"/>
      <c r="B77" s="13"/>
      <c r="C77" s="16"/>
      <c r="D77" s="13"/>
      <c r="E77" s="16"/>
      <c r="F77" s="13"/>
      <c r="G77" s="13"/>
      <c r="H77" s="13"/>
    </row>
    <row r="78" spans="1:8" ht="24" customHeight="1">
      <c r="A78" s="13"/>
      <c r="B78" s="13"/>
      <c r="C78" s="16"/>
      <c r="D78" s="13"/>
      <c r="E78" s="16"/>
      <c r="F78" s="13"/>
      <c r="G78" s="13"/>
      <c r="H78" s="13"/>
    </row>
    <row r="79" spans="1:8" ht="24" customHeight="1">
      <c r="A79" s="13"/>
      <c r="B79" s="13"/>
      <c r="C79" s="16"/>
      <c r="D79" s="13"/>
      <c r="E79" s="16"/>
      <c r="F79" s="13"/>
      <c r="G79" s="13"/>
      <c r="H79" s="13"/>
    </row>
    <row r="80" spans="1:8" ht="24" customHeight="1">
      <c r="A80" s="13"/>
      <c r="B80" s="13"/>
      <c r="C80" s="16"/>
      <c r="D80" s="13"/>
      <c r="E80" s="16"/>
      <c r="F80" s="13"/>
      <c r="G80" s="13"/>
      <c r="H80" s="13"/>
    </row>
    <row r="81" spans="1:8" ht="24" customHeight="1">
      <c r="A81" s="13"/>
      <c r="B81" s="13"/>
      <c r="C81" s="16"/>
      <c r="D81" s="13"/>
      <c r="E81" s="16"/>
      <c r="F81" s="13"/>
      <c r="G81" s="13"/>
      <c r="H81" s="13"/>
    </row>
    <row r="82" spans="1:8" ht="24" customHeight="1">
      <c r="A82" s="13"/>
      <c r="B82" s="13"/>
      <c r="C82" s="16"/>
      <c r="D82" s="13"/>
      <c r="E82" s="16"/>
      <c r="F82" s="13"/>
      <c r="G82" s="13"/>
      <c r="H82" s="13"/>
    </row>
    <row r="83" spans="1:8" ht="24" customHeight="1">
      <c r="A83" s="13"/>
      <c r="B83" s="13"/>
      <c r="C83" s="16"/>
      <c r="D83" s="13"/>
      <c r="E83" s="16"/>
      <c r="F83" s="13"/>
      <c r="G83" s="13"/>
      <c r="H83" s="13"/>
    </row>
    <row r="84" spans="1:8" ht="24" customHeight="1">
      <c r="A84" s="13"/>
      <c r="B84" s="13"/>
      <c r="C84" s="16"/>
      <c r="D84" s="13"/>
      <c r="E84" s="16"/>
      <c r="F84" s="13"/>
      <c r="G84" s="13"/>
      <c r="H84" s="13"/>
    </row>
    <row r="85" spans="1:8" ht="24" customHeight="1">
      <c r="A85" s="13"/>
      <c r="B85" s="13"/>
      <c r="C85" s="16"/>
      <c r="D85" s="13"/>
      <c r="E85" s="16"/>
      <c r="F85" s="13"/>
      <c r="G85" s="13"/>
      <c r="H85" s="13"/>
    </row>
    <row r="86" spans="1:8" ht="24" customHeight="1">
      <c r="A86" s="13"/>
      <c r="B86" s="13"/>
      <c r="C86" s="16"/>
      <c r="D86" s="13"/>
      <c r="E86" s="16"/>
      <c r="F86" s="13"/>
      <c r="G86" s="13"/>
      <c r="H86" s="13"/>
    </row>
    <row r="87" spans="1:8" ht="24" customHeight="1">
      <c r="A87" s="13"/>
      <c r="B87" s="13"/>
      <c r="C87" s="16"/>
      <c r="D87" s="13"/>
      <c r="E87" s="16"/>
      <c r="F87" s="13"/>
      <c r="G87" s="13"/>
      <c r="H87" s="13"/>
    </row>
    <row r="88" spans="1:8" ht="24" customHeight="1">
      <c r="A88" s="13"/>
      <c r="B88" s="13"/>
      <c r="C88" s="16"/>
      <c r="D88" s="13"/>
      <c r="E88" s="16"/>
      <c r="F88" s="13"/>
      <c r="G88" s="13"/>
      <c r="H88" s="13"/>
    </row>
    <row r="89" spans="1:8" ht="24" customHeight="1">
      <c r="A89" s="13"/>
      <c r="B89" s="13"/>
      <c r="C89" s="16"/>
      <c r="D89" s="13"/>
      <c r="E89" s="16"/>
      <c r="F89" s="13"/>
      <c r="G89" s="13"/>
      <c r="H89" s="13"/>
    </row>
    <row r="90" spans="1:8" ht="24" customHeight="1">
      <c r="A90" s="13"/>
      <c r="B90" s="13"/>
      <c r="C90" s="16"/>
      <c r="D90" s="13"/>
      <c r="E90" s="16"/>
      <c r="F90" s="13"/>
      <c r="G90" s="13"/>
      <c r="H90" s="13"/>
    </row>
    <row r="91" spans="1:8" ht="24" customHeight="1">
      <c r="A91" s="13"/>
      <c r="B91" s="13"/>
      <c r="C91" s="16"/>
      <c r="D91" s="13"/>
      <c r="E91" s="16"/>
      <c r="F91" s="13"/>
      <c r="G91" s="13"/>
      <c r="H91" s="13"/>
    </row>
    <row r="92" spans="1:8" ht="24" customHeight="1">
      <c r="A92" s="13"/>
      <c r="B92" s="13"/>
      <c r="C92" s="16"/>
      <c r="D92" s="13"/>
      <c r="E92" s="16"/>
      <c r="F92" s="13"/>
      <c r="G92" s="13"/>
      <c r="H92" s="13"/>
    </row>
    <row r="93" spans="1:8" ht="24" customHeight="1">
      <c r="A93" s="13"/>
      <c r="B93" s="13"/>
      <c r="C93" s="16"/>
      <c r="D93" s="13"/>
      <c r="E93" s="16"/>
      <c r="F93" s="13"/>
      <c r="G93" s="13"/>
      <c r="H93" s="13"/>
    </row>
    <row r="94" spans="1:8" ht="24" customHeight="1">
      <c r="A94" s="13"/>
      <c r="B94" s="13"/>
      <c r="C94" s="16"/>
      <c r="D94" s="13"/>
      <c r="E94" s="16"/>
      <c r="F94" s="13"/>
      <c r="G94" s="13"/>
      <c r="H94" s="13"/>
    </row>
    <row r="95" spans="1:8" ht="24" customHeight="1">
      <c r="A95" s="13"/>
      <c r="B95" s="13"/>
      <c r="C95" s="16"/>
      <c r="D95" s="13"/>
      <c r="E95" s="16"/>
      <c r="F95" s="13"/>
      <c r="G95" s="13"/>
      <c r="H95" s="13"/>
    </row>
    <row r="96" spans="1:8" ht="24" customHeight="1">
      <c r="A96" s="13"/>
      <c r="B96" s="13"/>
      <c r="C96" s="16"/>
      <c r="D96" s="13"/>
      <c r="E96" s="16"/>
      <c r="F96" s="13"/>
      <c r="G96" s="13"/>
      <c r="H96" s="13"/>
    </row>
    <row r="97" spans="1:8" ht="24" customHeight="1">
      <c r="A97" s="13"/>
      <c r="B97" s="13"/>
      <c r="C97" s="16"/>
      <c r="D97" s="13"/>
      <c r="E97" s="16"/>
      <c r="F97" s="13"/>
      <c r="G97" s="13"/>
      <c r="H97" s="13"/>
    </row>
    <row r="98" spans="1:8" ht="24" customHeight="1">
      <c r="A98" s="13"/>
      <c r="B98" s="13"/>
      <c r="C98" s="16"/>
      <c r="D98" s="13"/>
      <c r="E98" s="16"/>
      <c r="F98" s="13"/>
      <c r="G98" s="13"/>
      <c r="H98" s="13"/>
    </row>
    <row r="99" spans="1:8" ht="24" customHeight="1">
      <c r="A99" s="13"/>
      <c r="B99" s="13"/>
      <c r="C99" s="16"/>
      <c r="D99" s="13"/>
      <c r="E99" s="16"/>
      <c r="F99" s="13"/>
      <c r="G99" s="13"/>
      <c r="H99" s="13"/>
    </row>
    <row r="100" spans="1:8" ht="24" customHeight="1">
      <c r="A100" s="13"/>
      <c r="B100" s="13"/>
      <c r="C100" s="16"/>
      <c r="D100" s="13"/>
      <c r="E100" s="16"/>
      <c r="F100" s="13"/>
      <c r="G100" s="13"/>
      <c r="H100" s="13"/>
    </row>
    <row r="101" spans="1:8" ht="24" customHeight="1">
      <c r="A101" s="13"/>
      <c r="B101" s="13"/>
      <c r="C101" s="16"/>
      <c r="D101" s="13"/>
      <c r="E101" s="16"/>
      <c r="F101" s="13"/>
      <c r="G101" s="13"/>
      <c r="H101" s="13"/>
    </row>
    <row r="102" spans="1:8" ht="24" customHeight="1">
      <c r="A102" s="13"/>
      <c r="B102" s="13"/>
      <c r="C102" s="16"/>
      <c r="D102" s="13"/>
      <c r="E102" s="16"/>
      <c r="F102" s="13"/>
      <c r="G102" s="13"/>
      <c r="H102" s="13"/>
    </row>
    <row r="103" spans="1:8" ht="24" customHeight="1">
      <c r="A103" s="13"/>
      <c r="B103" s="13"/>
      <c r="C103" s="16"/>
      <c r="D103" s="13"/>
      <c r="E103" s="16"/>
      <c r="F103" s="13"/>
      <c r="G103" s="13"/>
      <c r="H103" s="13"/>
    </row>
    <row r="104" spans="1:8" ht="24" customHeight="1">
      <c r="A104" s="13"/>
      <c r="B104" s="13"/>
      <c r="C104" s="16"/>
      <c r="D104" s="13"/>
      <c r="E104" s="16"/>
      <c r="F104" s="13"/>
      <c r="G104" s="13"/>
      <c r="H104" s="13"/>
    </row>
    <row r="105" spans="1:8" ht="24" customHeight="1">
      <c r="A105" s="13"/>
      <c r="B105" s="13"/>
      <c r="C105" s="16"/>
      <c r="D105" s="13"/>
      <c r="E105" s="16"/>
      <c r="F105" s="13"/>
      <c r="G105" s="13"/>
      <c r="H105" s="13"/>
    </row>
    <row r="106" spans="1:8" ht="24" customHeight="1">
      <c r="A106" s="13"/>
      <c r="B106" s="13"/>
      <c r="C106" s="16"/>
      <c r="D106" s="13"/>
      <c r="E106" s="16"/>
      <c r="F106" s="13"/>
      <c r="G106" s="13"/>
      <c r="H106" s="13"/>
    </row>
    <row r="107" spans="1:8" ht="24" customHeight="1">
      <c r="A107" s="13"/>
      <c r="B107" s="13"/>
      <c r="C107" s="16"/>
      <c r="D107" s="13"/>
      <c r="E107" s="16"/>
      <c r="F107" s="13"/>
      <c r="G107" s="13"/>
      <c r="H107" s="13"/>
    </row>
    <row r="108" spans="1:8" ht="24" customHeight="1">
      <c r="A108" s="13"/>
      <c r="B108" s="13"/>
      <c r="C108" s="16"/>
      <c r="D108" s="13"/>
      <c r="E108" s="16"/>
      <c r="F108" s="13"/>
      <c r="G108" s="13"/>
      <c r="H108" s="13"/>
    </row>
    <row r="109" spans="1:8" ht="24" customHeight="1">
      <c r="A109" s="13"/>
      <c r="B109" s="13"/>
      <c r="C109" s="16"/>
      <c r="D109" s="13"/>
      <c r="E109" s="16"/>
      <c r="F109" s="13"/>
      <c r="G109" s="13"/>
      <c r="H109" s="13"/>
    </row>
    <row r="110" spans="1:8" ht="24" customHeight="1">
      <c r="A110" s="13"/>
      <c r="B110" s="13"/>
      <c r="C110" s="16"/>
      <c r="D110" s="13"/>
      <c r="E110" s="16"/>
      <c r="F110" s="13"/>
      <c r="G110" s="13"/>
      <c r="H110" s="13"/>
    </row>
    <row r="111" spans="1:8" ht="24" customHeight="1">
      <c r="A111" s="13"/>
      <c r="B111" s="13"/>
      <c r="C111" s="16"/>
      <c r="D111" s="13"/>
      <c r="E111" s="16"/>
      <c r="F111" s="13"/>
      <c r="G111" s="13"/>
      <c r="H111" s="13"/>
    </row>
    <row r="112" spans="1:8" ht="24" customHeight="1">
      <c r="A112" s="13"/>
      <c r="B112" s="13"/>
      <c r="C112" s="16"/>
      <c r="D112" s="13"/>
      <c r="E112" s="16"/>
      <c r="F112" s="13"/>
      <c r="G112" s="13"/>
      <c r="H112" s="13"/>
    </row>
    <row r="113" spans="1:8" ht="24" customHeight="1">
      <c r="A113" s="13"/>
      <c r="B113" s="13"/>
      <c r="C113" s="16"/>
      <c r="D113" s="13"/>
      <c r="E113" s="16"/>
      <c r="F113" s="13"/>
      <c r="G113" s="13"/>
      <c r="H113" s="13"/>
    </row>
    <row r="114" spans="1:8" ht="24" customHeight="1">
      <c r="A114" s="13"/>
      <c r="B114" s="13"/>
      <c r="C114" s="16"/>
      <c r="D114" s="13"/>
      <c r="E114" s="16"/>
      <c r="F114" s="13"/>
      <c r="G114" s="13"/>
      <c r="H114" s="13"/>
    </row>
    <row r="115" spans="1:8" ht="24" customHeight="1">
      <c r="A115" s="13"/>
      <c r="B115" s="13"/>
      <c r="C115" s="16"/>
      <c r="D115" s="13"/>
      <c r="E115" s="16"/>
      <c r="F115" s="13"/>
      <c r="G115" s="13"/>
      <c r="H115" s="13"/>
    </row>
    <row r="116" spans="1:8" ht="24" customHeight="1">
      <c r="A116" s="13"/>
      <c r="B116" s="13"/>
      <c r="C116" s="16"/>
      <c r="D116" s="13"/>
      <c r="E116" s="16"/>
      <c r="F116" s="13"/>
      <c r="G116" s="13"/>
      <c r="H116" s="13"/>
    </row>
    <row r="117" spans="1:8" ht="24" customHeight="1">
      <c r="A117" s="13"/>
      <c r="B117" s="13"/>
      <c r="C117" s="16"/>
      <c r="D117" s="13"/>
      <c r="E117" s="16"/>
      <c r="F117" s="13"/>
      <c r="G117" s="13"/>
      <c r="H117" s="13"/>
    </row>
    <row r="118" spans="1:8" ht="24" customHeight="1">
      <c r="A118" s="13"/>
      <c r="B118" s="13"/>
      <c r="C118" s="16"/>
      <c r="D118" s="13"/>
      <c r="E118" s="16"/>
      <c r="F118" s="13"/>
      <c r="G118" s="13"/>
      <c r="H118" s="13"/>
    </row>
    <row r="119" spans="1:8" ht="24" customHeight="1">
      <c r="A119" s="13"/>
      <c r="B119" s="13"/>
      <c r="C119" s="16"/>
      <c r="D119" s="13"/>
      <c r="E119" s="16"/>
      <c r="F119" s="13"/>
      <c r="G119" s="13"/>
      <c r="H119" s="13"/>
    </row>
    <row r="120" spans="1:8" ht="24" customHeight="1">
      <c r="A120" s="13"/>
      <c r="B120" s="13"/>
      <c r="C120" s="16"/>
      <c r="D120" s="13"/>
      <c r="E120" s="16"/>
      <c r="F120" s="13"/>
      <c r="G120" s="13"/>
      <c r="H120" s="13"/>
    </row>
    <row r="121" spans="1:8" ht="24" customHeight="1">
      <c r="A121" s="13"/>
      <c r="B121" s="13"/>
      <c r="C121" s="16"/>
      <c r="D121" s="13"/>
      <c r="E121" s="16"/>
      <c r="F121" s="13"/>
      <c r="G121" s="13"/>
      <c r="H121" s="13"/>
    </row>
    <row r="122" spans="1:8" ht="24" customHeight="1">
      <c r="A122" s="13"/>
      <c r="B122" s="13"/>
      <c r="C122" s="16"/>
      <c r="D122" s="13"/>
      <c r="E122" s="16"/>
      <c r="F122" s="13"/>
      <c r="G122" s="13"/>
      <c r="H122" s="13"/>
    </row>
    <row r="123" spans="1:8" ht="24" customHeight="1">
      <c r="A123" s="13"/>
      <c r="B123" s="13"/>
      <c r="C123" s="16"/>
      <c r="D123" s="13"/>
      <c r="E123" s="16"/>
      <c r="F123" s="13"/>
      <c r="G123" s="13"/>
      <c r="H123" s="13"/>
    </row>
    <row r="124" spans="1:8" ht="24" customHeight="1">
      <c r="A124" s="13"/>
      <c r="B124" s="13"/>
      <c r="C124" s="16"/>
      <c r="D124" s="13"/>
      <c r="E124" s="16"/>
      <c r="F124" s="13"/>
      <c r="G124" s="13"/>
      <c r="H124" s="13"/>
    </row>
    <row r="125" spans="1:8" ht="24" customHeight="1">
      <c r="A125" s="13"/>
      <c r="B125" s="13"/>
      <c r="C125" s="16"/>
      <c r="D125" s="13"/>
      <c r="E125" s="16"/>
      <c r="F125" s="13"/>
      <c r="G125" s="13"/>
      <c r="H125" s="13"/>
    </row>
    <row r="126" spans="1:8" ht="24" customHeight="1">
      <c r="A126" s="13"/>
      <c r="B126" s="13"/>
      <c r="C126" s="16"/>
      <c r="D126" s="13"/>
      <c r="E126" s="16"/>
      <c r="F126" s="13"/>
      <c r="G126" s="13"/>
      <c r="H126" s="13"/>
    </row>
    <row r="127" spans="1:8" ht="24" customHeight="1">
      <c r="A127" s="13"/>
      <c r="B127" s="13"/>
      <c r="C127" s="16"/>
      <c r="D127" s="13"/>
      <c r="E127" s="16"/>
      <c r="F127" s="13"/>
      <c r="G127" s="13"/>
      <c r="H127" s="13"/>
    </row>
    <row r="128" spans="1:8" ht="24" customHeight="1">
      <c r="A128" s="13"/>
      <c r="B128" s="13"/>
      <c r="C128" s="16"/>
      <c r="D128" s="13"/>
      <c r="E128" s="16"/>
      <c r="F128" s="13"/>
      <c r="G128" s="13"/>
      <c r="H128" s="13"/>
    </row>
    <row r="129" spans="1:8" ht="24" customHeight="1">
      <c r="A129" s="13"/>
      <c r="B129" s="13"/>
      <c r="C129" s="16"/>
      <c r="D129" s="13"/>
      <c r="E129" s="16"/>
      <c r="F129" s="13"/>
      <c r="G129" s="13"/>
      <c r="H129" s="13"/>
    </row>
    <row r="130" spans="1:8" ht="24" customHeight="1">
      <c r="A130" s="13"/>
      <c r="B130" s="13"/>
      <c r="C130" s="16"/>
      <c r="D130" s="13"/>
      <c r="E130" s="16"/>
      <c r="F130" s="13"/>
      <c r="G130" s="13"/>
      <c r="H130" s="13"/>
    </row>
    <row r="131" spans="1:8" ht="24" customHeight="1">
      <c r="A131" s="13"/>
      <c r="B131" s="13"/>
      <c r="C131" s="16"/>
      <c r="D131" s="13"/>
      <c r="E131" s="16"/>
      <c r="F131" s="13"/>
      <c r="G131" s="13"/>
      <c r="H131" s="13"/>
    </row>
    <row r="132" spans="1:8" ht="24" customHeight="1">
      <c r="A132" s="13"/>
      <c r="B132" s="13"/>
      <c r="C132" s="16"/>
      <c r="D132" s="13"/>
      <c r="E132" s="16"/>
      <c r="F132" s="13"/>
      <c r="G132" s="13"/>
      <c r="H132" s="13"/>
    </row>
    <row r="133" spans="1:8" ht="24" customHeight="1">
      <c r="A133" s="13"/>
      <c r="B133" s="13"/>
      <c r="C133" s="16"/>
      <c r="D133" s="13"/>
      <c r="E133" s="16"/>
      <c r="F133" s="13"/>
      <c r="G133" s="13"/>
      <c r="H133" s="13"/>
    </row>
    <row r="134" spans="1:8" ht="24" customHeight="1">
      <c r="A134" s="13"/>
      <c r="B134" s="13"/>
      <c r="C134" s="16"/>
      <c r="D134" s="13"/>
      <c r="E134" s="16"/>
      <c r="F134" s="13"/>
      <c r="G134" s="13"/>
      <c r="H134" s="13"/>
    </row>
    <row r="135" spans="1:8" ht="24" customHeight="1">
      <c r="A135" s="13"/>
      <c r="B135" s="13"/>
      <c r="C135" s="16"/>
      <c r="D135" s="13"/>
      <c r="E135" s="16"/>
      <c r="F135" s="13"/>
      <c r="G135" s="13"/>
      <c r="H135" s="13"/>
    </row>
    <row r="136" spans="1:8" ht="24" customHeight="1">
      <c r="A136" s="13"/>
      <c r="B136" s="13"/>
      <c r="C136" s="16"/>
      <c r="D136" s="13"/>
      <c r="E136" s="16"/>
      <c r="F136" s="13"/>
      <c r="G136" s="13"/>
      <c r="H136" s="13"/>
    </row>
    <row r="137" spans="1:8" ht="24" customHeight="1">
      <c r="A137" s="13"/>
      <c r="B137" s="13"/>
      <c r="C137" s="16"/>
      <c r="D137" s="13"/>
      <c r="E137" s="16"/>
      <c r="F137" s="13"/>
      <c r="G137" s="13"/>
      <c r="H137" s="13"/>
    </row>
    <row r="138" spans="1:8" ht="24" customHeight="1">
      <c r="A138" s="13"/>
      <c r="B138" s="13"/>
      <c r="C138" s="16"/>
      <c r="D138" s="13"/>
      <c r="E138" s="16"/>
      <c r="F138" s="13"/>
      <c r="G138" s="13"/>
      <c r="H138" s="13"/>
    </row>
    <row r="139" spans="1:8" ht="24" customHeight="1">
      <c r="A139" s="13"/>
      <c r="B139" s="13"/>
      <c r="C139" s="16"/>
      <c r="D139" s="13"/>
      <c r="E139" s="16"/>
      <c r="F139" s="13"/>
      <c r="G139" s="13"/>
      <c r="H139" s="13"/>
    </row>
    <row r="140" spans="1:8" ht="24" customHeight="1">
      <c r="A140" s="13"/>
      <c r="B140" s="13"/>
      <c r="C140" s="16"/>
      <c r="D140" s="13"/>
      <c r="E140" s="16"/>
      <c r="F140" s="13"/>
      <c r="G140" s="13"/>
      <c r="H140" s="13"/>
    </row>
    <row r="141" spans="1:8" ht="24" customHeight="1">
      <c r="A141" s="13"/>
      <c r="B141" s="13"/>
      <c r="C141" s="16"/>
      <c r="D141" s="13"/>
      <c r="E141" s="16"/>
      <c r="F141" s="13"/>
      <c r="G141" s="13"/>
      <c r="H141" s="13"/>
    </row>
    <row r="142" spans="1:8" ht="24" customHeight="1">
      <c r="A142" s="13"/>
      <c r="B142" s="13"/>
      <c r="C142" s="16"/>
      <c r="D142" s="13"/>
      <c r="E142" s="16"/>
      <c r="F142" s="13"/>
      <c r="G142" s="13"/>
      <c r="H142" s="13"/>
    </row>
    <row r="143" spans="1:8" ht="24" customHeight="1">
      <c r="A143" s="13"/>
      <c r="B143" s="13"/>
      <c r="C143" s="16"/>
      <c r="D143" s="13"/>
      <c r="E143" s="16"/>
      <c r="F143" s="13"/>
      <c r="G143" s="13"/>
      <c r="H143" s="13"/>
    </row>
    <row r="144" spans="1:8" ht="24" customHeight="1">
      <c r="A144" s="13"/>
      <c r="B144" s="13"/>
      <c r="C144" s="16"/>
      <c r="D144" s="13"/>
      <c r="E144" s="16"/>
      <c r="F144" s="13"/>
      <c r="G144" s="13"/>
      <c r="H144" s="13"/>
    </row>
    <row r="145" spans="1:8" ht="24" customHeight="1">
      <c r="A145" s="13"/>
      <c r="B145" s="13"/>
      <c r="C145" s="16"/>
      <c r="D145" s="13"/>
      <c r="E145" s="16"/>
      <c r="F145" s="13"/>
      <c r="G145" s="13"/>
      <c r="H145" s="13"/>
    </row>
    <row r="146" spans="1:8" ht="24" customHeight="1">
      <c r="A146" s="13"/>
      <c r="B146" s="13"/>
      <c r="C146" s="16"/>
      <c r="D146" s="13"/>
      <c r="E146" s="16"/>
      <c r="F146" s="13"/>
      <c r="G146" s="13"/>
      <c r="H146" s="13"/>
    </row>
    <row r="147" spans="1:8" ht="24" customHeight="1">
      <c r="A147" s="13"/>
      <c r="B147" s="13"/>
      <c r="C147" s="16"/>
      <c r="D147" s="13"/>
      <c r="E147" s="16"/>
      <c r="F147" s="13"/>
      <c r="G147" s="13"/>
      <c r="H147" s="13"/>
    </row>
    <row r="148" spans="1:8" ht="24" customHeight="1">
      <c r="A148" s="13"/>
      <c r="B148" s="13"/>
      <c r="C148" s="16"/>
      <c r="D148" s="13"/>
      <c r="E148" s="16"/>
      <c r="F148" s="13"/>
      <c r="G148" s="13"/>
      <c r="H148" s="13"/>
    </row>
    <row r="149" spans="1:8" ht="24" customHeight="1">
      <c r="A149" s="13"/>
      <c r="B149" s="13"/>
      <c r="C149" s="16"/>
      <c r="D149" s="13"/>
      <c r="E149" s="16"/>
      <c r="F149" s="13"/>
      <c r="G149" s="13"/>
      <c r="H149" s="13"/>
    </row>
    <row r="150" spans="1:8" ht="24" customHeight="1">
      <c r="A150" s="13"/>
      <c r="B150" s="13"/>
      <c r="C150" s="16"/>
      <c r="D150" s="13"/>
      <c r="E150" s="16"/>
      <c r="F150" s="13"/>
      <c r="G150" s="13"/>
      <c r="H150" s="13"/>
    </row>
    <row r="151" spans="1:8" ht="24" customHeight="1">
      <c r="A151" s="13"/>
      <c r="B151" s="13"/>
      <c r="C151" s="16"/>
      <c r="D151" s="13"/>
      <c r="E151" s="16"/>
      <c r="F151" s="13"/>
      <c r="G151" s="13"/>
      <c r="H151" s="13"/>
    </row>
    <row r="152" spans="1:8" ht="24" customHeight="1">
      <c r="A152" s="13"/>
      <c r="B152" s="13"/>
      <c r="C152" s="16"/>
      <c r="D152" s="13"/>
      <c r="E152" s="16"/>
      <c r="F152" s="13"/>
      <c r="G152" s="13"/>
      <c r="H152" s="13"/>
    </row>
    <row r="153" spans="1:8" ht="24" customHeight="1">
      <c r="A153" s="13"/>
      <c r="B153" s="13"/>
      <c r="C153" s="16"/>
      <c r="D153" s="13"/>
      <c r="E153" s="16"/>
      <c r="F153" s="13"/>
      <c r="G153" s="13"/>
      <c r="H153" s="13"/>
    </row>
    <row r="154" spans="1:8" ht="24" customHeight="1">
      <c r="A154" s="13"/>
      <c r="B154" s="13"/>
      <c r="C154" s="16"/>
      <c r="D154" s="13"/>
      <c r="E154" s="16"/>
      <c r="F154" s="13"/>
      <c r="G154" s="13"/>
      <c r="H154" s="13"/>
    </row>
    <row r="155" spans="1:8" ht="24" customHeight="1">
      <c r="A155" s="13"/>
      <c r="B155" s="13"/>
      <c r="C155" s="16"/>
      <c r="D155" s="13"/>
      <c r="E155" s="16"/>
      <c r="F155" s="13"/>
      <c r="G155" s="13"/>
      <c r="H155" s="13"/>
    </row>
    <row r="156" spans="1:8" ht="24" customHeight="1">
      <c r="A156" s="13"/>
      <c r="B156" s="13"/>
      <c r="C156" s="16"/>
      <c r="D156" s="13"/>
      <c r="E156" s="16"/>
      <c r="F156" s="13"/>
      <c r="G156" s="13"/>
      <c r="H156" s="13"/>
    </row>
    <row r="157" spans="1:8" ht="24" customHeight="1">
      <c r="A157" s="13"/>
      <c r="B157" s="13"/>
      <c r="C157" s="16"/>
      <c r="D157" s="13"/>
      <c r="E157" s="16"/>
      <c r="F157" s="13"/>
      <c r="G157" s="13"/>
      <c r="H157" s="13"/>
    </row>
    <row r="158" spans="1:8" ht="24" customHeight="1">
      <c r="A158" s="13"/>
      <c r="B158" s="13"/>
      <c r="C158" s="16"/>
      <c r="D158" s="13"/>
      <c r="E158" s="16"/>
      <c r="F158" s="13"/>
      <c r="G158" s="13"/>
      <c r="H158" s="13"/>
    </row>
    <row r="159" spans="1:8" ht="24" customHeight="1">
      <c r="A159" s="13"/>
      <c r="B159" s="13"/>
      <c r="C159" s="16"/>
      <c r="D159" s="13"/>
      <c r="E159" s="16"/>
      <c r="F159" s="13"/>
      <c r="G159" s="13"/>
      <c r="H159" s="13"/>
    </row>
    <row r="160" spans="1:8" ht="24" customHeight="1">
      <c r="A160" s="13"/>
      <c r="B160" s="13"/>
      <c r="C160" s="16"/>
      <c r="D160" s="13"/>
      <c r="E160" s="16"/>
      <c r="F160" s="13"/>
      <c r="G160" s="13"/>
      <c r="H160" s="13"/>
    </row>
    <row r="161" spans="1:8" ht="24" customHeight="1">
      <c r="A161" s="13"/>
      <c r="B161" s="13"/>
      <c r="C161" s="16"/>
      <c r="D161" s="13"/>
      <c r="E161" s="16"/>
      <c r="F161" s="13"/>
      <c r="G161" s="13"/>
      <c r="H161" s="13"/>
    </row>
    <row r="162" spans="1:8" ht="24" customHeight="1">
      <c r="A162" s="13"/>
      <c r="B162" s="13"/>
      <c r="C162" s="16"/>
      <c r="D162" s="13"/>
      <c r="E162" s="16"/>
      <c r="F162" s="13"/>
      <c r="G162" s="13"/>
      <c r="H162" s="13"/>
    </row>
    <row r="163" spans="1:8" ht="24" customHeight="1">
      <c r="A163" s="13"/>
      <c r="B163" s="13"/>
      <c r="C163" s="16"/>
      <c r="D163" s="13"/>
      <c r="E163" s="16"/>
      <c r="F163" s="13"/>
      <c r="G163" s="13"/>
      <c r="H163" s="13"/>
    </row>
    <row r="164" spans="1:8" ht="24" customHeight="1">
      <c r="A164" s="13"/>
      <c r="B164" s="13"/>
      <c r="C164" s="16"/>
      <c r="D164" s="13"/>
      <c r="E164" s="16"/>
      <c r="F164" s="13"/>
      <c r="G164" s="13"/>
      <c r="H164" s="13"/>
    </row>
    <row r="165" spans="1:8" ht="24" customHeight="1">
      <c r="A165" s="13"/>
      <c r="B165" s="13"/>
      <c r="C165" s="16"/>
      <c r="D165" s="13"/>
      <c r="E165" s="16"/>
      <c r="F165" s="13"/>
      <c r="G165" s="13"/>
      <c r="H165" s="13"/>
    </row>
    <row r="166" spans="1:8" ht="24" customHeight="1">
      <c r="A166" s="13"/>
      <c r="B166" s="13"/>
      <c r="C166" s="16"/>
      <c r="D166" s="13"/>
      <c r="E166" s="16"/>
      <c r="F166" s="13"/>
      <c r="G166" s="13"/>
      <c r="H166" s="13"/>
    </row>
    <row r="167" spans="1:8" ht="24" customHeight="1">
      <c r="A167" s="13"/>
      <c r="B167" s="13"/>
      <c r="C167" s="16"/>
      <c r="D167" s="13"/>
      <c r="E167" s="16"/>
      <c r="F167" s="13"/>
      <c r="G167" s="13"/>
      <c r="H167" s="13"/>
    </row>
    <row r="168" spans="1:8" ht="24" customHeight="1">
      <c r="A168" s="13"/>
      <c r="B168" s="13"/>
      <c r="C168" s="16"/>
      <c r="D168" s="13"/>
      <c r="E168" s="16"/>
      <c r="F168" s="13"/>
      <c r="G168" s="13"/>
      <c r="H168" s="13"/>
    </row>
    <row r="169" spans="1:8" ht="24" customHeight="1">
      <c r="A169" s="13"/>
      <c r="B169" s="13"/>
      <c r="C169" s="16"/>
      <c r="D169" s="13"/>
      <c r="E169" s="16"/>
      <c r="F169" s="13"/>
      <c r="G169" s="13"/>
      <c r="H169" s="13"/>
    </row>
    <row r="170" spans="1:8" ht="24" customHeight="1">
      <c r="A170" s="13"/>
      <c r="B170" s="13"/>
      <c r="C170" s="16"/>
      <c r="D170" s="13"/>
      <c r="E170" s="16"/>
      <c r="F170" s="13"/>
      <c r="G170" s="13"/>
      <c r="H170" s="13"/>
    </row>
    <row r="171" spans="1:8" ht="24" customHeight="1">
      <c r="A171" s="13"/>
      <c r="B171" s="13"/>
      <c r="C171" s="16"/>
      <c r="D171" s="13"/>
      <c r="E171" s="16"/>
      <c r="F171" s="13"/>
      <c r="G171" s="13"/>
      <c r="H171" s="13"/>
    </row>
    <row r="172" spans="1:8" ht="24" customHeight="1">
      <c r="A172" s="13"/>
      <c r="B172" s="13"/>
      <c r="C172" s="16"/>
      <c r="D172" s="13"/>
      <c r="E172" s="16"/>
      <c r="F172" s="13"/>
      <c r="G172" s="13"/>
      <c r="H172" s="13"/>
    </row>
    <row r="173" spans="1:8" ht="24" customHeight="1">
      <c r="A173" s="13"/>
      <c r="B173" s="13"/>
      <c r="C173" s="16"/>
      <c r="D173" s="13"/>
      <c r="E173" s="16"/>
      <c r="F173" s="13"/>
      <c r="G173" s="13"/>
      <c r="H173" s="13"/>
    </row>
    <row r="174" spans="1:8" ht="24" customHeight="1">
      <c r="A174" s="13"/>
      <c r="B174" s="13"/>
      <c r="C174" s="16"/>
      <c r="D174" s="13"/>
      <c r="E174" s="16"/>
      <c r="F174" s="13"/>
      <c r="G174" s="13"/>
      <c r="H174" s="13"/>
    </row>
    <row r="175" spans="1:8" ht="24" customHeight="1">
      <c r="A175" s="13"/>
      <c r="B175" s="13"/>
      <c r="C175" s="16"/>
      <c r="D175" s="13"/>
      <c r="E175" s="16"/>
      <c r="F175" s="13"/>
      <c r="G175" s="13"/>
      <c r="H175" s="13"/>
    </row>
    <row r="176" spans="1:8" ht="24" customHeight="1">
      <c r="A176" s="13"/>
      <c r="B176" s="13"/>
      <c r="C176" s="16"/>
      <c r="D176" s="13"/>
      <c r="E176" s="16"/>
      <c r="F176" s="13"/>
      <c r="G176" s="13"/>
      <c r="H176" s="13"/>
    </row>
    <row r="177" spans="1:8" ht="24" customHeight="1">
      <c r="A177" s="13"/>
      <c r="B177" s="13"/>
      <c r="C177" s="16"/>
      <c r="D177" s="13"/>
      <c r="E177" s="16"/>
      <c r="F177" s="13"/>
      <c r="G177" s="13"/>
      <c r="H177" s="13"/>
    </row>
    <row r="178" spans="1:8" ht="24" customHeight="1">
      <c r="A178" s="13"/>
      <c r="B178" s="13"/>
      <c r="C178" s="16"/>
      <c r="D178" s="13"/>
      <c r="E178" s="16"/>
      <c r="F178" s="13"/>
      <c r="G178" s="13"/>
      <c r="H178" s="13"/>
    </row>
    <row r="179" spans="1:8" ht="24" customHeight="1">
      <c r="A179" s="13"/>
      <c r="B179" s="13"/>
      <c r="C179" s="16"/>
      <c r="D179" s="13"/>
      <c r="E179" s="16"/>
      <c r="F179" s="13"/>
      <c r="G179" s="13"/>
      <c r="H179" s="13"/>
    </row>
    <row r="180" spans="1:8" ht="24" customHeight="1">
      <c r="A180" s="13"/>
      <c r="B180" s="13"/>
      <c r="C180" s="16"/>
      <c r="D180" s="13"/>
      <c r="E180" s="16"/>
      <c r="F180" s="13"/>
      <c r="G180" s="13"/>
      <c r="H180" s="13"/>
    </row>
    <row r="181" spans="1:8" ht="24" customHeight="1">
      <c r="A181" s="13"/>
      <c r="B181" s="13"/>
      <c r="C181" s="16"/>
      <c r="D181" s="13"/>
      <c r="E181" s="16"/>
      <c r="F181" s="13"/>
      <c r="G181" s="13"/>
      <c r="H181" s="13"/>
    </row>
    <row r="182" spans="1:8" ht="24" customHeight="1">
      <c r="A182" s="13"/>
      <c r="B182" s="13"/>
      <c r="C182" s="16"/>
      <c r="D182" s="13"/>
      <c r="E182" s="16"/>
      <c r="F182" s="13"/>
      <c r="G182" s="13"/>
      <c r="H182" s="13"/>
    </row>
    <row r="183" spans="1:8" ht="24" customHeight="1">
      <c r="A183" s="13"/>
      <c r="B183" s="13"/>
      <c r="C183" s="16"/>
      <c r="D183" s="13"/>
      <c r="E183" s="16"/>
      <c r="F183" s="13"/>
      <c r="G183" s="13"/>
      <c r="H183" s="13"/>
    </row>
    <row r="184" spans="1:8" ht="24" customHeight="1">
      <c r="A184" s="13"/>
      <c r="B184" s="13"/>
      <c r="C184" s="16"/>
      <c r="D184" s="13"/>
      <c r="E184" s="16"/>
      <c r="F184" s="13"/>
      <c r="G184" s="13"/>
      <c r="H184" s="13"/>
    </row>
    <row r="185" spans="1:8" ht="24" customHeight="1">
      <c r="A185" s="13"/>
      <c r="B185" s="13"/>
      <c r="C185" s="16"/>
      <c r="D185" s="13"/>
      <c r="E185" s="16"/>
      <c r="F185" s="13"/>
      <c r="G185" s="13"/>
      <c r="H185" s="13"/>
    </row>
    <row r="186" spans="1:8" ht="24" customHeight="1">
      <c r="A186" s="13"/>
      <c r="B186" s="13"/>
      <c r="C186" s="16"/>
      <c r="D186" s="13"/>
      <c r="E186" s="16"/>
      <c r="F186" s="13"/>
      <c r="G186" s="13"/>
      <c r="H186" s="13"/>
    </row>
    <row r="187" spans="1:8" ht="24" customHeight="1">
      <c r="A187" s="13"/>
      <c r="B187" s="13"/>
      <c r="C187" s="16"/>
      <c r="D187" s="13"/>
      <c r="E187" s="16"/>
      <c r="F187" s="13"/>
      <c r="G187" s="13"/>
      <c r="H187" s="13"/>
    </row>
    <row r="188" spans="1:8" ht="24" customHeight="1">
      <c r="A188" s="13"/>
      <c r="B188" s="13"/>
      <c r="C188" s="16"/>
      <c r="D188" s="13"/>
      <c r="E188" s="16"/>
      <c r="F188" s="13"/>
      <c r="G188" s="13"/>
      <c r="H188" s="13"/>
    </row>
    <row r="189" spans="1:8" ht="24" customHeight="1">
      <c r="A189" s="13"/>
      <c r="B189" s="13"/>
      <c r="C189" s="16"/>
      <c r="D189" s="13"/>
      <c r="E189" s="16"/>
      <c r="F189" s="13"/>
      <c r="G189" s="13"/>
      <c r="H189" s="13"/>
    </row>
    <row r="190" spans="1:8" ht="24" customHeight="1">
      <c r="A190" s="13"/>
      <c r="B190" s="13"/>
      <c r="C190" s="16"/>
      <c r="D190" s="13"/>
      <c r="E190" s="16"/>
      <c r="F190" s="13"/>
      <c r="G190" s="13"/>
      <c r="H190" s="13"/>
    </row>
    <row r="191" spans="1:8" ht="24" customHeight="1">
      <c r="A191" s="13"/>
      <c r="B191" s="13"/>
      <c r="C191" s="16"/>
      <c r="D191" s="13"/>
      <c r="E191" s="16"/>
      <c r="F191" s="13"/>
      <c r="G191" s="13"/>
      <c r="H191" s="13"/>
    </row>
    <row r="192" spans="1:8" ht="24" customHeight="1">
      <c r="A192" s="13"/>
      <c r="B192" s="13"/>
      <c r="C192" s="16"/>
      <c r="D192" s="13"/>
      <c r="E192" s="16"/>
      <c r="F192" s="13"/>
      <c r="G192" s="13"/>
      <c r="H192" s="13"/>
    </row>
    <row r="193" spans="1:8" ht="24" customHeight="1">
      <c r="A193" s="13"/>
      <c r="B193" s="13"/>
      <c r="C193" s="16"/>
      <c r="D193" s="13"/>
      <c r="E193" s="16"/>
      <c r="F193" s="13"/>
      <c r="G193" s="13"/>
      <c r="H193" s="13"/>
    </row>
    <row r="194" spans="1:8" ht="24" customHeight="1">
      <c r="A194" s="13"/>
      <c r="B194" s="13"/>
      <c r="C194" s="16"/>
      <c r="D194" s="13"/>
      <c r="E194" s="16"/>
      <c r="F194" s="13"/>
      <c r="G194" s="13"/>
      <c r="H194" s="13"/>
    </row>
    <row r="195" spans="1:8" ht="24" customHeight="1">
      <c r="A195" s="13"/>
      <c r="B195" s="13"/>
      <c r="C195" s="16"/>
      <c r="D195" s="13"/>
      <c r="E195" s="16"/>
      <c r="F195" s="13"/>
      <c r="G195" s="13"/>
      <c r="H195" s="13"/>
    </row>
    <row r="196" spans="1:8" ht="24" customHeight="1">
      <c r="A196" s="13"/>
      <c r="B196" s="13"/>
      <c r="C196" s="16"/>
      <c r="D196" s="13"/>
      <c r="E196" s="16"/>
      <c r="F196" s="13"/>
      <c r="G196" s="13"/>
      <c r="H196" s="13"/>
    </row>
    <row r="197" spans="1:8" ht="24" customHeight="1">
      <c r="A197" s="13"/>
      <c r="B197" s="13"/>
      <c r="C197" s="16"/>
      <c r="D197" s="13"/>
      <c r="E197" s="16"/>
      <c r="F197" s="13"/>
      <c r="G197" s="13"/>
      <c r="H197" s="13"/>
    </row>
    <row r="198" spans="1:8" ht="24" customHeight="1">
      <c r="A198" s="13"/>
      <c r="B198" s="13"/>
      <c r="C198" s="16"/>
      <c r="D198" s="13"/>
      <c r="E198" s="16"/>
      <c r="F198" s="13"/>
      <c r="G198" s="13"/>
      <c r="H198" s="13"/>
    </row>
    <row r="199" spans="1:8" ht="24" customHeight="1">
      <c r="A199" s="13"/>
      <c r="B199" s="13"/>
      <c r="C199" s="16"/>
      <c r="D199" s="13"/>
      <c r="E199" s="16"/>
      <c r="F199" s="13"/>
      <c r="G199" s="13"/>
      <c r="H199" s="13"/>
    </row>
    <row r="200" spans="1:8" ht="24" customHeight="1">
      <c r="A200" s="13"/>
      <c r="B200" s="13"/>
      <c r="C200" s="16"/>
      <c r="D200" s="13"/>
      <c r="E200" s="16"/>
      <c r="F200" s="13"/>
      <c r="G200" s="13"/>
      <c r="H200" s="13"/>
    </row>
    <row r="201" spans="1:8" ht="24" customHeight="1">
      <c r="A201" s="13"/>
      <c r="B201" s="13"/>
      <c r="C201" s="16"/>
      <c r="D201" s="13"/>
      <c r="E201" s="16"/>
      <c r="F201" s="13"/>
      <c r="G201" s="13"/>
      <c r="H201" s="13"/>
    </row>
    <row r="202" spans="1:8" ht="24" customHeight="1">
      <c r="A202" s="13"/>
      <c r="B202" s="13"/>
      <c r="C202" s="16"/>
      <c r="D202" s="13"/>
      <c r="E202" s="16"/>
      <c r="F202" s="13"/>
      <c r="G202" s="13"/>
      <c r="H202" s="13"/>
    </row>
    <row r="203" spans="1:8" ht="24" customHeight="1">
      <c r="A203" s="13"/>
      <c r="B203" s="13"/>
      <c r="C203" s="16"/>
      <c r="D203" s="13"/>
      <c r="E203" s="16"/>
      <c r="F203" s="13"/>
      <c r="G203" s="13"/>
      <c r="H203" s="13"/>
    </row>
    <row r="204" spans="1:8" ht="24" customHeight="1">
      <c r="A204" s="13"/>
      <c r="B204" s="13"/>
      <c r="C204" s="16"/>
      <c r="D204" s="13"/>
      <c r="E204" s="16"/>
      <c r="F204" s="13"/>
      <c r="G204" s="13"/>
      <c r="H204" s="13"/>
    </row>
    <row r="205" spans="1:8" ht="24" customHeight="1">
      <c r="A205" s="13"/>
      <c r="B205" s="13"/>
      <c r="C205" s="16"/>
      <c r="D205" s="13"/>
      <c r="E205" s="16"/>
      <c r="F205" s="13"/>
      <c r="G205" s="13"/>
      <c r="H205" s="13"/>
    </row>
    <row r="206" spans="1:8" ht="24" customHeight="1">
      <c r="A206" s="13"/>
      <c r="B206" s="13"/>
      <c r="C206" s="16"/>
      <c r="D206" s="13"/>
      <c r="E206" s="16"/>
      <c r="F206" s="13"/>
      <c r="G206" s="13"/>
      <c r="H206" s="13"/>
    </row>
    <row r="207" spans="1:8" ht="24" customHeight="1">
      <c r="A207" s="13"/>
      <c r="B207" s="13"/>
      <c r="C207" s="16"/>
      <c r="D207" s="13"/>
      <c r="E207" s="16"/>
      <c r="F207" s="13"/>
      <c r="G207" s="13"/>
      <c r="H207" s="13"/>
    </row>
    <row r="208" spans="1:8" ht="24" customHeight="1">
      <c r="A208" s="13"/>
      <c r="B208" s="13"/>
      <c r="C208" s="16"/>
      <c r="D208" s="13"/>
      <c r="E208" s="16"/>
      <c r="F208" s="13"/>
      <c r="G208" s="13"/>
      <c r="H208" s="13"/>
    </row>
    <row r="209" spans="1:8" ht="24" customHeight="1">
      <c r="A209" s="13"/>
      <c r="B209" s="13"/>
      <c r="C209" s="16"/>
      <c r="D209" s="13"/>
      <c r="E209" s="16"/>
      <c r="F209" s="13"/>
      <c r="G209" s="13"/>
      <c r="H209" s="13"/>
    </row>
    <row r="210" spans="1:8" ht="24" customHeight="1">
      <c r="A210" s="13"/>
      <c r="B210" s="13"/>
      <c r="C210" s="16"/>
      <c r="D210" s="13"/>
      <c r="E210" s="16"/>
      <c r="F210" s="13"/>
      <c r="G210" s="13"/>
      <c r="H210" s="13"/>
    </row>
    <row r="211" spans="1:8" ht="24" customHeight="1">
      <c r="A211" s="13"/>
      <c r="B211" s="13"/>
      <c r="C211" s="16"/>
      <c r="D211" s="13"/>
      <c r="E211" s="16"/>
      <c r="F211" s="13"/>
      <c r="G211" s="13"/>
      <c r="H211" s="13"/>
    </row>
    <row r="212" spans="1:8" ht="24" customHeight="1">
      <c r="A212" s="13"/>
      <c r="B212" s="13"/>
      <c r="C212" s="16"/>
      <c r="D212" s="13"/>
      <c r="E212" s="16"/>
      <c r="F212" s="13"/>
      <c r="G212" s="13"/>
      <c r="H212" s="13"/>
    </row>
    <row r="213" spans="1:8" ht="24" customHeight="1">
      <c r="A213" s="13"/>
      <c r="B213" s="13"/>
      <c r="C213" s="16"/>
      <c r="D213" s="13"/>
      <c r="E213" s="16"/>
      <c r="F213" s="13"/>
      <c r="G213" s="13"/>
      <c r="H213" s="13"/>
    </row>
    <row r="214" spans="1:8" ht="24" customHeight="1">
      <c r="A214" s="13"/>
      <c r="B214" s="13"/>
      <c r="C214" s="16"/>
      <c r="D214" s="13"/>
      <c r="E214" s="16"/>
      <c r="F214" s="13"/>
      <c r="G214" s="13"/>
      <c r="H214" s="13"/>
    </row>
    <row r="215" spans="1:8" ht="24" customHeight="1">
      <c r="A215" s="13"/>
      <c r="B215" s="13"/>
      <c r="C215" s="16"/>
      <c r="D215" s="13"/>
      <c r="E215" s="16"/>
      <c r="F215" s="13"/>
      <c r="G215" s="13"/>
      <c r="H215" s="13"/>
    </row>
    <row r="216" spans="1:8" ht="24" customHeight="1">
      <c r="A216" s="13"/>
      <c r="B216" s="13"/>
      <c r="C216" s="16"/>
      <c r="D216" s="13"/>
      <c r="E216" s="16"/>
      <c r="F216" s="13"/>
      <c r="G216" s="13"/>
      <c r="H216" s="13"/>
    </row>
    <row r="217" spans="1:8" ht="24" customHeight="1">
      <c r="A217" s="13"/>
      <c r="B217" s="13"/>
      <c r="C217" s="16"/>
      <c r="D217" s="13"/>
      <c r="E217" s="16"/>
      <c r="F217" s="13"/>
      <c r="G217" s="13"/>
      <c r="H217" s="13"/>
    </row>
    <row r="218" spans="1:8" ht="24" customHeight="1">
      <c r="A218" s="13"/>
      <c r="B218" s="13"/>
      <c r="C218" s="16"/>
      <c r="D218" s="13"/>
      <c r="E218" s="16"/>
      <c r="F218" s="13"/>
      <c r="G218" s="13"/>
      <c r="H218" s="13"/>
    </row>
    <row r="219" spans="1:8" ht="24" customHeight="1">
      <c r="A219" s="13"/>
      <c r="B219" s="13"/>
      <c r="C219" s="16"/>
      <c r="D219" s="13"/>
      <c r="E219" s="16"/>
      <c r="F219" s="13"/>
      <c r="G219" s="13"/>
      <c r="H219" s="13"/>
    </row>
    <row r="220" spans="1:8" ht="24" customHeight="1">
      <c r="A220" s="13"/>
      <c r="B220" s="13"/>
      <c r="C220" s="16"/>
      <c r="D220" s="13"/>
      <c r="E220" s="16"/>
      <c r="F220" s="13"/>
      <c r="G220" s="13"/>
      <c r="H220" s="13"/>
    </row>
    <row r="221" spans="1:8" ht="24" customHeight="1">
      <c r="A221" s="13"/>
      <c r="B221" s="13"/>
      <c r="C221" s="16"/>
      <c r="D221" s="13"/>
      <c r="E221" s="16"/>
      <c r="F221" s="13"/>
      <c r="G221" s="13"/>
      <c r="H221" s="13"/>
    </row>
    <row r="222" spans="1:8" ht="24" customHeight="1">
      <c r="A222" s="13"/>
      <c r="B222" s="13"/>
      <c r="C222" s="16"/>
      <c r="D222" s="13"/>
      <c r="E222" s="16"/>
      <c r="F222" s="13"/>
      <c r="G222" s="13"/>
      <c r="H222" s="13"/>
    </row>
    <row r="223" spans="1:8" ht="24" customHeight="1">
      <c r="A223" s="13"/>
      <c r="B223" s="13"/>
      <c r="C223" s="16"/>
      <c r="D223" s="13"/>
      <c r="E223" s="16"/>
      <c r="F223" s="13"/>
      <c r="G223" s="13"/>
      <c r="H223" s="13"/>
    </row>
    <row r="224" spans="1:8" ht="24" customHeight="1">
      <c r="A224" s="13"/>
      <c r="B224" s="13"/>
      <c r="C224" s="16"/>
      <c r="D224" s="13"/>
      <c r="E224" s="16"/>
      <c r="F224" s="13"/>
      <c r="G224" s="13"/>
      <c r="H224" s="13"/>
    </row>
    <row r="225" spans="1:8" ht="24" customHeight="1">
      <c r="A225" s="13"/>
      <c r="B225" s="13"/>
      <c r="C225" s="16"/>
      <c r="D225" s="13"/>
      <c r="E225" s="16"/>
      <c r="F225" s="13"/>
      <c r="G225" s="13"/>
      <c r="H225" s="13"/>
    </row>
    <row r="226" spans="1:8" ht="24" customHeight="1">
      <c r="A226" s="13"/>
      <c r="B226" s="13"/>
      <c r="C226" s="16"/>
      <c r="D226" s="13"/>
      <c r="E226" s="16"/>
      <c r="F226" s="13"/>
      <c r="G226" s="13"/>
      <c r="H226" s="13"/>
    </row>
    <row r="227" spans="1:8" ht="24" customHeight="1">
      <c r="A227" s="13"/>
      <c r="B227" s="13"/>
      <c r="C227" s="16"/>
      <c r="D227" s="13"/>
      <c r="E227" s="16"/>
      <c r="F227" s="13"/>
      <c r="G227" s="13"/>
      <c r="H227" s="13"/>
    </row>
    <row r="228" spans="1:8" ht="24" customHeight="1">
      <c r="A228" s="13"/>
      <c r="B228" s="13"/>
      <c r="C228" s="16"/>
      <c r="D228" s="13"/>
      <c r="E228" s="16"/>
      <c r="F228" s="13"/>
      <c r="G228" s="13"/>
      <c r="H228" s="13"/>
    </row>
    <row r="229" spans="1:8" ht="24" customHeight="1">
      <c r="A229" s="13"/>
      <c r="B229" s="13"/>
      <c r="C229" s="16"/>
      <c r="D229" s="13"/>
      <c r="E229" s="16"/>
      <c r="F229" s="13"/>
      <c r="G229" s="13"/>
      <c r="H229" s="13"/>
    </row>
    <row r="230" spans="1:8" ht="24" customHeight="1">
      <c r="A230" s="13"/>
      <c r="B230" s="13"/>
      <c r="C230" s="16"/>
      <c r="D230" s="13"/>
      <c r="E230" s="16"/>
      <c r="F230" s="13"/>
      <c r="G230" s="13"/>
      <c r="H230" s="13"/>
    </row>
    <row r="231" spans="1:8" ht="24" customHeight="1">
      <c r="A231" s="13"/>
      <c r="B231" s="13"/>
      <c r="C231" s="16"/>
      <c r="D231" s="13"/>
      <c r="E231" s="16"/>
      <c r="F231" s="13"/>
      <c r="G231" s="13"/>
      <c r="H231" s="13"/>
    </row>
    <row r="232" spans="1:8" ht="24" customHeight="1">
      <c r="A232" s="13"/>
      <c r="B232" s="13"/>
      <c r="C232" s="16"/>
      <c r="D232" s="13"/>
      <c r="E232" s="16"/>
      <c r="F232" s="13"/>
      <c r="G232" s="13"/>
      <c r="H232" s="13"/>
    </row>
    <row r="233" spans="1:8" ht="24" customHeight="1">
      <c r="A233" s="13"/>
      <c r="B233" s="13"/>
      <c r="C233" s="16"/>
      <c r="D233" s="13"/>
      <c r="E233" s="16"/>
      <c r="F233" s="13"/>
      <c r="G233" s="13"/>
      <c r="H233" s="13"/>
    </row>
    <row r="234" spans="1:8" ht="24" customHeight="1">
      <c r="A234" s="13"/>
      <c r="B234" s="13"/>
      <c r="C234" s="16"/>
      <c r="D234" s="13"/>
      <c r="E234" s="16"/>
      <c r="F234" s="13"/>
      <c r="G234" s="13"/>
      <c r="H234" s="13"/>
    </row>
    <row r="235" spans="1:8" ht="24" customHeight="1">
      <c r="A235" s="13"/>
      <c r="B235" s="13"/>
      <c r="C235" s="16"/>
      <c r="D235" s="13"/>
      <c r="E235" s="16"/>
      <c r="F235" s="13"/>
      <c r="G235" s="13"/>
      <c r="H235" s="13"/>
    </row>
    <row r="236" spans="1:8" ht="24" customHeight="1">
      <c r="A236" s="13"/>
      <c r="B236" s="13"/>
      <c r="C236" s="16"/>
      <c r="D236" s="13"/>
      <c r="E236" s="16"/>
      <c r="F236" s="13"/>
      <c r="G236" s="13"/>
      <c r="H236" s="13"/>
    </row>
    <row r="237" spans="1:8" ht="24" customHeight="1">
      <c r="A237" s="13"/>
      <c r="B237" s="13"/>
      <c r="C237" s="16"/>
      <c r="D237" s="13"/>
      <c r="E237" s="16"/>
      <c r="F237" s="13"/>
      <c r="G237" s="13"/>
      <c r="H237" s="13"/>
    </row>
    <row r="238" spans="1:8" ht="24" customHeight="1">
      <c r="A238" s="13"/>
      <c r="B238" s="13"/>
      <c r="C238" s="16"/>
      <c r="D238" s="13"/>
      <c r="E238" s="16"/>
      <c r="F238" s="13"/>
      <c r="G238" s="13"/>
      <c r="H238" s="13"/>
    </row>
    <row r="239" spans="1:8" ht="24" customHeight="1">
      <c r="A239" s="13"/>
      <c r="B239" s="13"/>
      <c r="C239" s="16"/>
      <c r="D239" s="13"/>
      <c r="E239" s="16"/>
      <c r="F239" s="13"/>
      <c r="G239" s="13"/>
      <c r="H239" s="13"/>
    </row>
    <row r="240" spans="1:8" ht="24" customHeight="1">
      <c r="A240" s="13"/>
      <c r="B240" s="13"/>
      <c r="C240" s="16"/>
      <c r="D240" s="13"/>
      <c r="E240" s="16"/>
      <c r="F240" s="13"/>
      <c r="G240" s="13"/>
      <c r="H240" s="13"/>
    </row>
    <row r="241" spans="1:8" ht="24" customHeight="1">
      <c r="A241" s="13"/>
      <c r="B241" s="13"/>
      <c r="C241" s="16"/>
      <c r="D241" s="13"/>
      <c r="E241" s="16"/>
      <c r="F241" s="13"/>
      <c r="G241" s="13"/>
      <c r="H241" s="13"/>
    </row>
    <row r="242" spans="1:8" ht="24" customHeight="1">
      <c r="A242" s="13"/>
      <c r="B242" s="13"/>
      <c r="C242" s="16"/>
      <c r="D242" s="13"/>
      <c r="E242" s="16"/>
      <c r="F242" s="13"/>
      <c r="G242" s="13"/>
      <c r="H242" s="13"/>
    </row>
    <row r="243" spans="1:8" ht="24" customHeight="1">
      <c r="A243" s="13"/>
      <c r="B243" s="13"/>
      <c r="C243" s="16"/>
      <c r="D243" s="13"/>
      <c r="E243" s="16"/>
      <c r="F243" s="13"/>
      <c r="G243" s="13"/>
      <c r="H243" s="13"/>
    </row>
    <row r="244" spans="1:8" ht="24" customHeight="1">
      <c r="A244" s="13"/>
      <c r="B244" s="13"/>
      <c r="C244" s="16"/>
      <c r="D244" s="13"/>
      <c r="E244" s="16"/>
      <c r="F244" s="13"/>
      <c r="G244" s="13"/>
      <c r="H244" s="13"/>
    </row>
    <row r="245" spans="1:8" ht="24" customHeight="1">
      <c r="A245" s="13"/>
      <c r="B245" s="13"/>
      <c r="C245" s="16"/>
      <c r="D245" s="13"/>
      <c r="E245" s="16"/>
      <c r="F245" s="13"/>
      <c r="G245" s="13"/>
      <c r="H245" s="13"/>
    </row>
    <row r="246" spans="1:8" ht="24" customHeight="1">
      <c r="A246" s="13"/>
      <c r="B246" s="13"/>
      <c r="C246" s="16"/>
      <c r="D246" s="13"/>
      <c r="E246" s="16"/>
      <c r="F246" s="13"/>
      <c r="G246" s="13"/>
      <c r="H246" s="13"/>
    </row>
    <row r="247" spans="1:8" ht="24" customHeight="1">
      <c r="A247" s="13"/>
      <c r="B247" s="13"/>
      <c r="C247" s="16"/>
      <c r="D247" s="13"/>
      <c r="E247" s="16"/>
      <c r="F247" s="13"/>
      <c r="G247" s="13"/>
      <c r="H247" s="13"/>
    </row>
    <row r="248" spans="1:8" ht="24" customHeight="1">
      <c r="A248" s="13"/>
      <c r="B248" s="13"/>
      <c r="C248" s="16"/>
      <c r="D248" s="13"/>
      <c r="E248" s="16"/>
      <c r="F248" s="13"/>
      <c r="G248" s="13"/>
      <c r="H248" s="13"/>
    </row>
    <row r="249" spans="1:8" ht="24" customHeight="1">
      <c r="A249" s="13"/>
      <c r="B249" s="13"/>
      <c r="C249" s="16"/>
      <c r="D249" s="13"/>
      <c r="E249" s="16"/>
      <c r="F249" s="13"/>
      <c r="G249" s="13"/>
      <c r="H249" s="13"/>
    </row>
    <row r="250" spans="1:8" ht="24" customHeight="1">
      <c r="A250" s="13"/>
      <c r="B250" s="13"/>
      <c r="C250" s="16"/>
      <c r="D250" s="13"/>
      <c r="E250" s="16"/>
      <c r="F250" s="13"/>
      <c r="G250" s="13"/>
      <c r="H250" s="13"/>
    </row>
    <row r="251" spans="1:8" ht="24" customHeight="1">
      <c r="A251" s="13"/>
      <c r="B251" s="13"/>
      <c r="C251" s="16"/>
      <c r="D251" s="13"/>
      <c r="E251" s="16"/>
      <c r="F251" s="13"/>
      <c r="G251" s="13"/>
      <c r="H251" s="13"/>
    </row>
    <row r="252" spans="1:8" ht="24" customHeight="1">
      <c r="A252" s="13"/>
      <c r="B252" s="13"/>
      <c r="C252" s="16"/>
      <c r="D252" s="13"/>
      <c r="E252" s="16"/>
      <c r="F252" s="13"/>
      <c r="G252" s="13"/>
      <c r="H252" s="13"/>
    </row>
    <row r="253" spans="1:8" ht="24" customHeight="1">
      <c r="A253" s="13"/>
      <c r="B253" s="13"/>
      <c r="C253" s="16"/>
      <c r="D253" s="13"/>
      <c r="E253" s="16"/>
      <c r="F253" s="13"/>
      <c r="G253" s="13"/>
      <c r="H253" s="13"/>
    </row>
    <row r="254" spans="1:8" ht="24" customHeight="1">
      <c r="A254" s="13"/>
      <c r="B254" s="13"/>
      <c r="C254" s="16"/>
      <c r="D254" s="13"/>
      <c r="E254" s="16"/>
      <c r="F254" s="13"/>
      <c r="G254" s="13"/>
      <c r="H254" s="13"/>
    </row>
    <row r="255" spans="1:8" ht="24" customHeight="1">
      <c r="A255" s="13"/>
      <c r="B255" s="13"/>
      <c r="C255" s="16"/>
      <c r="D255" s="13"/>
      <c r="E255" s="16"/>
      <c r="F255" s="13"/>
      <c r="G255" s="13"/>
      <c r="H255" s="13"/>
    </row>
    <row r="256" spans="1:8" ht="24" customHeight="1">
      <c r="A256" s="13"/>
      <c r="B256" s="13"/>
      <c r="C256" s="16"/>
      <c r="D256" s="13"/>
      <c r="E256" s="16"/>
      <c r="F256" s="13"/>
      <c r="G256" s="13"/>
      <c r="H256" s="13"/>
    </row>
    <row r="257" spans="1:8" ht="24" customHeight="1">
      <c r="A257" s="13"/>
      <c r="B257" s="13"/>
      <c r="C257" s="16"/>
      <c r="D257" s="13"/>
      <c r="E257" s="16"/>
      <c r="F257" s="13"/>
      <c r="G257" s="13"/>
      <c r="H257" s="13"/>
    </row>
    <row r="258" spans="1:8" ht="24" customHeight="1">
      <c r="A258" s="13"/>
      <c r="B258" s="13"/>
      <c r="C258" s="16"/>
      <c r="D258" s="13"/>
      <c r="E258" s="16"/>
      <c r="F258" s="13"/>
      <c r="G258" s="13"/>
      <c r="H258" s="13"/>
    </row>
    <row r="259" spans="1:8" ht="24" customHeight="1">
      <c r="A259" s="13"/>
      <c r="B259" s="13"/>
      <c r="C259" s="16"/>
      <c r="D259" s="13"/>
      <c r="E259" s="16"/>
      <c r="F259" s="13"/>
      <c r="G259" s="13"/>
      <c r="H259" s="13"/>
    </row>
    <row r="260" spans="1:8" ht="24" customHeight="1">
      <c r="A260" s="13"/>
      <c r="B260" s="13"/>
      <c r="C260" s="16"/>
      <c r="D260" s="13"/>
      <c r="E260" s="16"/>
      <c r="F260" s="13"/>
      <c r="G260" s="13"/>
      <c r="H260" s="13"/>
    </row>
    <row r="261" spans="1:8" ht="24" customHeight="1">
      <c r="A261" s="13"/>
      <c r="B261" s="13"/>
      <c r="C261" s="16"/>
      <c r="D261" s="13"/>
      <c r="E261" s="16"/>
      <c r="F261" s="13"/>
      <c r="G261" s="13"/>
      <c r="H261" s="13"/>
    </row>
    <row r="262" spans="1:8" ht="24" customHeight="1">
      <c r="A262" s="13"/>
      <c r="B262" s="13"/>
      <c r="C262" s="16"/>
      <c r="D262" s="13"/>
      <c r="E262" s="16"/>
      <c r="F262" s="13"/>
      <c r="G262" s="13"/>
      <c r="H262" s="13"/>
    </row>
    <row r="263" spans="1:8" ht="24" customHeight="1">
      <c r="A263" s="13"/>
      <c r="B263" s="13"/>
      <c r="C263" s="16"/>
      <c r="D263" s="13"/>
      <c r="E263" s="16"/>
      <c r="F263" s="13"/>
      <c r="G263" s="13"/>
      <c r="H263" s="13"/>
    </row>
    <row r="264" spans="1:8" ht="24" customHeight="1">
      <c r="A264" s="13"/>
      <c r="B264" s="13"/>
      <c r="C264" s="16"/>
      <c r="D264" s="13"/>
      <c r="E264" s="16"/>
      <c r="F264" s="13"/>
      <c r="G264" s="13"/>
      <c r="H264" s="13"/>
    </row>
    <row r="265" spans="1:8" ht="24" customHeight="1">
      <c r="A265" s="13"/>
      <c r="B265" s="13"/>
      <c r="C265" s="16"/>
      <c r="D265" s="13"/>
      <c r="E265" s="16"/>
      <c r="F265" s="13"/>
      <c r="G265" s="13"/>
      <c r="H265" s="13"/>
    </row>
    <row r="266" spans="1:8" ht="24" customHeight="1">
      <c r="A266" s="13"/>
      <c r="B266" s="13"/>
      <c r="C266" s="16"/>
      <c r="D266" s="13"/>
      <c r="E266" s="16"/>
      <c r="F266" s="13"/>
      <c r="G266" s="13"/>
      <c r="H266" s="13"/>
    </row>
    <row r="267" spans="1:8" ht="24" customHeight="1">
      <c r="A267" s="13"/>
      <c r="B267" s="13"/>
      <c r="C267" s="16"/>
      <c r="D267" s="13"/>
      <c r="E267" s="16"/>
      <c r="F267" s="13"/>
      <c r="G267" s="13"/>
      <c r="H267" s="13"/>
    </row>
    <row r="268" spans="1:8" ht="24" customHeight="1">
      <c r="A268" s="13"/>
      <c r="B268" s="13"/>
      <c r="C268" s="16"/>
      <c r="D268" s="13"/>
      <c r="E268" s="16"/>
      <c r="F268" s="13"/>
      <c r="G268" s="13"/>
      <c r="H268" s="13"/>
    </row>
    <row r="269" spans="1:8" ht="24" customHeight="1">
      <c r="A269" s="13"/>
      <c r="B269" s="13"/>
      <c r="C269" s="16"/>
      <c r="D269" s="13"/>
      <c r="E269" s="16"/>
      <c r="F269" s="13"/>
      <c r="G269" s="13"/>
      <c r="H269" s="13"/>
    </row>
    <row r="270" spans="1:8" ht="24" customHeight="1">
      <c r="A270" s="13"/>
      <c r="B270" s="13"/>
      <c r="C270" s="16"/>
      <c r="D270" s="13"/>
      <c r="E270" s="16"/>
      <c r="F270" s="13"/>
      <c r="G270" s="13"/>
      <c r="H270" s="13"/>
    </row>
    <row r="271" spans="1:8" ht="24" customHeight="1">
      <c r="A271" s="13"/>
      <c r="B271" s="13"/>
      <c r="C271" s="16"/>
      <c r="D271" s="13"/>
      <c r="E271" s="16"/>
      <c r="F271" s="13"/>
      <c r="G271" s="13"/>
      <c r="H271" s="13"/>
    </row>
    <row r="272" spans="1:8" ht="24" customHeight="1">
      <c r="A272" s="13"/>
      <c r="B272" s="13"/>
      <c r="C272" s="16"/>
      <c r="D272" s="13"/>
      <c r="E272" s="16"/>
      <c r="F272" s="13"/>
      <c r="G272" s="13"/>
      <c r="H272" s="13"/>
    </row>
    <row r="273" spans="1:8" ht="24" customHeight="1">
      <c r="A273" s="13"/>
      <c r="B273" s="13"/>
      <c r="C273" s="16"/>
      <c r="D273" s="13"/>
      <c r="E273" s="16"/>
      <c r="F273" s="13"/>
      <c r="G273" s="13"/>
      <c r="H273" s="13"/>
    </row>
    <row r="274" spans="1:8" ht="24" customHeight="1">
      <c r="A274" s="13"/>
      <c r="B274" s="13"/>
      <c r="C274" s="16"/>
      <c r="D274" s="13"/>
      <c r="E274" s="16"/>
      <c r="F274" s="13"/>
      <c r="G274" s="13"/>
      <c r="H274" s="13"/>
    </row>
    <row r="275" spans="1:8" ht="24" customHeight="1">
      <c r="A275" s="13"/>
      <c r="B275" s="13"/>
      <c r="C275" s="16"/>
      <c r="D275" s="13"/>
      <c r="E275" s="16"/>
      <c r="F275" s="13"/>
      <c r="G275" s="13"/>
      <c r="H275" s="13"/>
    </row>
    <row r="276" spans="1:8" ht="24" customHeight="1">
      <c r="A276" s="13"/>
      <c r="B276" s="13"/>
      <c r="C276" s="16"/>
      <c r="D276" s="13"/>
      <c r="E276" s="16"/>
      <c r="F276" s="13"/>
      <c r="G276" s="13"/>
      <c r="H276" s="13"/>
    </row>
    <row r="277" spans="1:8" ht="24" customHeight="1">
      <c r="A277" s="13"/>
      <c r="B277" s="13"/>
      <c r="C277" s="16"/>
      <c r="D277" s="13"/>
      <c r="E277" s="16"/>
      <c r="F277" s="13"/>
      <c r="G277" s="13"/>
      <c r="H277" s="13"/>
    </row>
    <row r="278" spans="1:8" ht="24" customHeight="1">
      <c r="A278" s="13"/>
      <c r="B278" s="13"/>
      <c r="C278" s="16"/>
      <c r="D278" s="13"/>
      <c r="E278" s="16"/>
      <c r="F278" s="13"/>
      <c r="G278" s="13"/>
      <c r="H278" s="13"/>
    </row>
    <row r="279" spans="1:8" ht="24" customHeight="1">
      <c r="A279" s="13"/>
      <c r="B279" s="13"/>
      <c r="C279" s="16"/>
      <c r="D279" s="13"/>
      <c r="E279" s="16"/>
      <c r="F279" s="13"/>
      <c r="G279" s="13"/>
      <c r="H279" s="13"/>
    </row>
    <row r="280" spans="1:8" ht="24" customHeight="1">
      <c r="A280" s="13"/>
      <c r="B280" s="13"/>
      <c r="C280" s="16"/>
      <c r="D280" s="13"/>
      <c r="E280" s="16"/>
      <c r="F280" s="13"/>
      <c r="G280" s="13"/>
      <c r="H280" s="13"/>
    </row>
    <row r="281" spans="1:8" ht="24" customHeight="1">
      <c r="A281" s="13"/>
      <c r="B281" s="13"/>
      <c r="C281" s="16"/>
      <c r="D281" s="13"/>
      <c r="E281" s="16"/>
      <c r="F281" s="13"/>
      <c r="G281" s="13"/>
      <c r="H281" s="13"/>
    </row>
    <row r="282" spans="1:8" ht="24" customHeight="1">
      <c r="A282" s="13"/>
      <c r="B282" s="13"/>
      <c r="C282" s="16"/>
      <c r="D282" s="13"/>
      <c r="E282" s="16"/>
      <c r="F282" s="13"/>
      <c r="G282" s="13"/>
      <c r="H282" s="13"/>
    </row>
    <row r="283" spans="1:8" ht="24" customHeight="1">
      <c r="A283" s="13"/>
      <c r="B283" s="13"/>
      <c r="C283" s="16"/>
      <c r="D283" s="13"/>
      <c r="E283" s="16"/>
      <c r="F283" s="13"/>
      <c r="G283" s="13"/>
      <c r="H283" s="13"/>
    </row>
    <row r="284" spans="1:8" ht="24" customHeight="1">
      <c r="A284" s="13"/>
      <c r="B284" s="13"/>
      <c r="C284" s="16"/>
      <c r="D284" s="13"/>
      <c r="E284" s="16"/>
      <c r="F284" s="13"/>
      <c r="G284" s="13"/>
      <c r="H284" s="13"/>
    </row>
    <row r="285" spans="1:8" ht="24" customHeight="1">
      <c r="A285" s="13"/>
      <c r="B285" s="13"/>
      <c r="C285" s="16"/>
      <c r="D285" s="13"/>
      <c r="E285" s="16"/>
      <c r="F285" s="13"/>
      <c r="G285" s="13"/>
      <c r="H285" s="13"/>
    </row>
    <row r="286" spans="1:8" ht="24" customHeight="1">
      <c r="A286" s="13"/>
      <c r="B286" s="13"/>
      <c r="C286" s="16"/>
      <c r="D286" s="13"/>
      <c r="E286" s="16"/>
      <c r="F286" s="13"/>
      <c r="G286" s="13"/>
      <c r="H286" s="13"/>
    </row>
    <row r="287" spans="1:8" ht="24" customHeight="1">
      <c r="A287" s="13"/>
      <c r="B287" s="13"/>
      <c r="C287" s="16"/>
      <c r="D287" s="13"/>
      <c r="E287" s="16"/>
      <c r="F287" s="13"/>
      <c r="G287" s="13"/>
      <c r="H287" s="13"/>
    </row>
    <row r="288" spans="1:8" ht="24" customHeight="1">
      <c r="A288" s="13"/>
      <c r="B288" s="13"/>
      <c r="C288" s="16"/>
      <c r="D288" s="13"/>
      <c r="E288" s="16"/>
      <c r="F288" s="13"/>
      <c r="G288" s="13"/>
      <c r="H288" s="13"/>
    </row>
    <row r="289" spans="1:8" ht="24" customHeight="1">
      <c r="A289" s="13"/>
      <c r="B289" s="13"/>
      <c r="C289" s="16"/>
      <c r="D289" s="13"/>
      <c r="E289" s="16"/>
      <c r="F289" s="13"/>
      <c r="G289" s="13"/>
      <c r="H289" s="13"/>
    </row>
    <row r="290" spans="1:8" ht="24" customHeight="1">
      <c r="A290" s="13"/>
      <c r="B290" s="13"/>
      <c r="C290" s="16"/>
      <c r="D290" s="13"/>
      <c r="E290" s="16"/>
      <c r="F290" s="13"/>
      <c r="G290" s="13"/>
      <c r="H290" s="13"/>
    </row>
    <row r="291" spans="1:8" ht="24" customHeight="1">
      <c r="A291" s="13"/>
      <c r="B291" s="13"/>
      <c r="C291" s="16"/>
      <c r="D291" s="13"/>
      <c r="E291" s="16"/>
      <c r="F291" s="13"/>
      <c r="G291" s="13"/>
      <c r="H291" s="13"/>
    </row>
    <row r="292" spans="1:8" ht="24" customHeight="1">
      <c r="A292" s="13"/>
      <c r="B292" s="13"/>
      <c r="C292" s="16"/>
      <c r="D292" s="13"/>
      <c r="E292" s="16"/>
      <c r="F292" s="13"/>
      <c r="G292" s="13"/>
      <c r="H292" s="13"/>
    </row>
    <row r="293" spans="1:8" ht="24" customHeight="1">
      <c r="A293" s="13"/>
      <c r="B293" s="13"/>
      <c r="C293" s="16"/>
      <c r="D293" s="13"/>
      <c r="E293" s="16"/>
      <c r="F293" s="13"/>
      <c r="G293" s="13"/>
      <c r="H293" s="13"/>
    </row>
    <row r="294" spans="1:8" ht="24" customHeight="1">
      <c r="A294" s="13"/>
      <c r="B294" s="13"/>
      <c r="C294" s="16"/>
      <c r="D294" s="13"/>
      <c r="E294" s="16"/>
      <c r="F294" s="13"/>
      <c r="G294" s="13"/>
      <c r="H294" s="13"/>
    </row>
    <row r="295" spans="1:8" ht="24" customHeight="1">
      <c r="A295" s="13"/>
      <c r="B295" s="13"/>
      <c r="C295" s="16"/>
      <c r="D295" s="13"/>
      <c r="E295" s="16"/>
      <c r="F295" s="13"/>
      <c r="G295" s="13"/>
      <c r="H295" s="13"/>
    </row>
    <row r="296" spans="1:8" ht="24" customHeight="1">
      <c r="A296" s="13"/>
      <c r="B296" s="13"/>
      <c r="C296" s="16"/>
      <c r="D296" s="13"/>
      <c r="E296" s="16"/>
      <c r="F296" s="13"/>
      <c r="G296" s="13"/>
      <c r="H296" s="13"/>
    </row>
    <row r="297" spans="1:8" ht="24" customHeight="1">
      <c r="A297" s="13"/>
      <c r="B297" s="13"/>
      <c r="C297" s="16"/>
      <c r="D297" s="13"/>
      <c r="E297" s="16"/>
      <c r="F297" s="13"/>
      <c r="G297" s="13"/>
      <c r="H297" s="13"/>
    </row>
    <row r="298" spans="1:8" ht="24" customHeight="1">
      <c r="A298" s="13"/>
      <c r="B298" s="13"/>
      <c r="C298" s="16"/>
      <c r="D298" s="13"/>
      <c r="E298" s="16"/>
      <c r="F298" s="13"/>
      <c r="G298" s="13"/>
      <c r="H298" s="13"/>
    </row>
    <row r="299" spans="1:8" ht="24" customHeight="1">
      <c r="A299" s="13"/>
      <c r="B299" s="13"/>
      <c r="C299" s="16"/>
      <c r="D299" s="13"/>
      <c r="E299" s="16"/>
      <c r="F299" s="13"/>
      <c r="G299" s="13"/>
      <c r="H299" s="13"/>
    </row>
    <row r="300" spans="1:8" ht="24" customHeight="1">
      <c r="A300" s="13"/>
      <c r="B300" s="13"/>
      <c r="C300" s="16"/>
      <c r="D300" s="13"/>
      <c r="E300" s="16"/>
      <c r="F300" s="13"/>
      <c r="G300" s="13"/>
      <c r="H300" s="13"/>
    </row>
    <row r="301" spans="1:8" ht="24" customHeight="1">
      <c r="A301" s="13"/>
      <c r="B301" s="13"/>
      <c r="C301" s="16"/>
      <c r="D301" s="13"/>
      <c r="E301" s="16"/>
      <c r="F301" s="13"/>
      <c r="G301" s="13"/>
      <c r="H301" s="13"/>
    </row>
    <row r="302" spans="1:8" ht="24" customHeight="1">
      <c r="A302" s="13"/>
      <c r="B302" s="13"/>
      <c r="C302" s="16"/>
      <c r="D302" s="13"/>
      <c r="E302" s="16"/>
      <c r="F302" s="13"/>
      <c r="G302" s="13"/>
      <c r="H302" s="13"/>
    </row>
    <row r="303" spans="1:8" ht="24" customHeight="1">
      <c r="A303" s="13"/>
      <c r="B303" s="13"/>
      <c r="C303" s="16"/>
      <c r="D303" s="13"/>
      <c r="E303" s="16"/>
      <c r="F303" s="13"/>
      <c r="G303" s="13"/>
      <c r="H303" s="13"/>
    </row>
    <row r="304" spans="1:8" ht="24" customHeight="1">
      <c r="A304" s="13"/>
      <c r="B304" s="13"/>
      <c r="C304" s="16"/>
      <c r="D304" s="13"/>
      <c r="E304" s="16"/>
      <c r="F304" s="13"/>
      <c r="G304" s="13"/>
      <c r="H304" s="13"/>
    </row>
    <row r="305" spans="1:8" ht="24" customHeight="1">
      <c r="A305" s="13"/>
      <c r="B305" s="13"/>
      <c r="C305" s="16"/>
      <c r="D305" s="13"/>
      <c r="E305" s="16"/>
      <c r="F305" s="13"/>
      <c r="G305" s="13"/>
      <c r="H305" s="13"/>
    </row>
    <row r="306" spans="1:8" ht="24" customHeight="1">
      <c r="A306" s="13"/>
      <c r="B306" s="13"/>
      <c r="C306" s="16"/>
      <c r="D306" s="13"/>
      <c r="E306" s="16"/>
      <c r="F306" s="13"/>
      <c r="G306" s="13"/>
      <c r="H306" s="13"/>
    </row>
    <row r="307" spans="1:8" ht="24" customHeight="1">
      <c r="A307" s="13"/>
      <c r="B307" s="13"/>
      <c r="C307" s="16"/>
      <c r="D307" s="13"/>
      <c r="E307" s="16"/>
      <c r="F307" s="13"/>
      <c r="G307" s="13"/>
      <c r="H307" s="13"/>
    </row>
    <row r="308" spans="1:8" ht="24" customHeight="1">
      <c r="A308" s="13"/>
      <c r="B308" s="13"/>
      <c r="C308" s="16"/>
      <c r="D308" s="13"/>
      <c r="E308" s="16"/>
      <c r="F308" s="13"/>
      <c r="G308" s="13"/>
      <c r="H308" s="13"/>
    </row>
    <row r="309" spans="1:8" ht="24" customHeight="1">
      <c r="A309" s="13"/>
      <c r="B309" s="13"/>
      <c r="C309" s="16"/>
      <c r="D309" s="13"/>
      <c r="E309" s="16"/>
      <c r="F309" s="13"/>
      <c r="G309" s="13"/>
      <c r="H309" s="13"/>
    </row>
    <row r="310" spans="1:8" ht="24" customHeight="1">
      <c r="A310" s="13"/>
      <c r="B310" s="13"/>
      <c r="C310" s="16"/>
      <c r="D310" s="13"/>
      <c r="E310" s="16"/>
      <c r="F310" s="13"/>
      <c r="G310" s="13"/>
      <c r="H310" s="13"/>
    </row>
    <row r="311" spans="1:8" ht="24" customHeight="1">
      <c r="A311" s="13"/>
      <c r="B311" s="13"/>
      <c r="C311" s="16"/>
      <c r="D311" s="13"/>
      <c r="E311" s="16"/>
      <c r="F311" s="13"/>
      <c r="G311" s="13"/>
      <c r="H311" s="13"/>
    </row>
    <row r="312" spans="1:8" ht="24" customHeight="1">
      <c r="A312" s="13"/>
      <c r="B312" s="13"/>
      <c r="C312" s="16"/>
      <c r="D312" s="13"/>
      <c r="E312" s="16"/>
      <c r="F312" s="13"/>
      <c r="G312" s="13"/>
      <c r="H312" s="13"/>
    </row>
  </sheetData>
  <mergeCells count="13">
    <mergeCell ref="A9:D9"/>
    <mergeCell ref="E9:H9"/>
    <mergeCell ref="A6:D6"/>
    <mergeCell ref="E6:H6"/>
    <mergeCell ref="A7:D7"/>
    <mergeCell ref="E7:H7"/>
    <mergeCell ref="A8:H8"/>
    <mergeCell ref="A2:H2"/>
    <mergeCell ref="A3:H3"/>
    <mergeCell ref="A4:D4"/>
    <mergeCell ref="E4:H4"/>
    <mergeCell ref="A5:D5"/>
    <mergeCell ref="E5:H5"/>
  </mergeCells>
  <conditionalFormatting sqref="G13:G312">
    <cfRule type="expression" dxfId="8" priority="1">
      <formula>AND($H13="Referenced",G13="")</formula>
    </cfRule>
  </conditionalFormatting>
  <dataValidations count="4">
    <dataValidation type="list" allowBlank="1" showErrorMessage="1" errorTitle="Select a listed value" error="Use the dropdown. Project lists can be adapted in Lists or H_Status_Codes." sqref="A13:A312" ns2:uid="{00000000-0002-0000-0500-000000000000}">
      <formula1>PackageIDs</formula1>
    </dataValidation>
    <dataValidation type="list" allowBlank="1" showErrorMessage="1" errorTitle="Select a listed value" error="Use the dropdown. Project lists can be adapted in Lists or H_Status_Codes." sqref="B13:B312" ns2:uid="{00000000-0002-0000-0500-000001000000}">
      <formula1>FQDSections</formula1>
    </dataValidation>
    <dataValidation type="list" allowBlank="1" showErrorMessage="1" errorTitle="Select a listed value" error="Use the dropdown. Project lists can be adapted in Lists or H_Status_Codes." sqref="F13:F312" ns2:uid="{00000000-0002-0000-0500-000002000000}">
      <formula1>RecordStatuses</formula1>
    </dataValidation>
    <dataValidation type="list" allowBlank="1" showErrorMessage="1" errorTitle="Select a listed value" error="Use the dropdown. Project lists can be adapted in Lists or H_Status_Codes." sqref="H13:H312" ns2:uid="{00000000-0002-0000-0500-000003000000}">
      <formula1>InclusionTypes</formula1>
    </dataValidation>
  </dataValidation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xmlns:x14="http://schemas.microsoft.com/office/spreadsheetml/2009/9/main" xmlns:xm="http://schemas.microsoft.com/office/excel/2006/main" ns1:Ignorable="x14ac xr xr2 xr3" ns2:uid="{00000000-0001-0000-0600-000000000000}">
  <sheetPr>
    <tabColor rgb="FF2B6E9F"/>
    <pageSetUpPr fitToPage="1"/>
  </sheetPr>
  <dimension ref="A1:G312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32" customWidth="1"/>
    <col min="2" max="2" width="14" customWidth="1"/>
    <col min="3" max="3" width="42" customWidth="1"/>
    <col min="4" max="4" width="31" customWidth="1"/>
    <col min="5" max="5" width="52" customWidth="1"/>
    <col min="6" max="6" width="43" customWidth="1"/>
    <col min="7" max="7" width="34" customWidth="1"/>
  </cols>
  <sheetData>
    <row r="1" spans="1:7" ht="9.9499999999999993" customHeight="1">
      <c r="A1" s="1"/>
      <c r="B1" s="1"/>
      <c r="C1" s="1"/>
      <c r="D1" s="1"/>
      <c r="E1" s="1"/>
      <c r="F1" s="1"/>
      <c r="G1" s="1"/>
    </row>
    <row r="2" spans="1:7" ht="27.95" customHeight="1">
      <c r="A2" s="27" t="s">
        <v>182</v>
      </c>
      <c r="B2" s="27"/>
      <c r="C2" s="27"/>
      <c r="D2" s="27"/>
      <c r="E2" s="27"/>
      <c r="F2" s="27"/>
      <c r="G2" s="27"/>
    </row>
    <row r="3" spans="1:7" ht="20.100000000000001" customHeight="1">
      <c r="A3" s="28" t="s">
        <v>66</v>
      </c>
      <c r="B3" s="28"/>
      <c r="C3" s="28"/>
      <c r="D3" s="28"/>
      <c r="E3" s="28"/>
      <c r="F3" s="28"/>
      <c r="G3" s="28"/>
    </row>
    <row r="4" spans="1:7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/>
      <c r="D4" s="29" t="str">
        <f>"Project ID: "&amp;IF('00_Project'!$B$7="","",'00_Project'!$B$7)</f>
        <v xml:space="preserve">Project ID: </v>
      </c>
      <c r="E4" s="29"/>
      <c r="F4" s="29"/>
      <c r="G4" s="29"/>
    </row>
    <row r="5" spans="1:7" ht="26.1" customHeight="1">
      <c r="A5" s="29" t="str">
        <f>"Client / Owner: "&amp;IF('00_Project'!$B$8="","",'00_Project'!$B$8)</f>
        <v xml:space="preserve">Client / Owner: </v>
      </c>
      <c r="B5" s="29"/>
      <c r="C5" s="29"/>
      <c r="D5" s="29" t="str">
        <f>"Contractor: "&amp;IF('00_Project'!$B$9="","",'00_Project'!$B$9)</f>
        <v xml:space="preserve">Contractor: </v>
      </c>
      <c r="E5" s="29"/>
      <c r="F5" s="29"/>
      <c r="G5" s="29"/>
    </row>
    <row r="6" spans="1:7" ht="26.1" customHeight="1">
      <c r="A6" s="29" t="str">
        <f>"Project document ID: "&amp;IF('00_Project'!$B$11="","",'00_Project'!$B$11)</f>
        <v xml:space="preserve">Project document ID: </v>
      </c>
      <c r="B6" s="29"/>
      <c r="C6" s="29"/>
      <c r="D6" s="29" t="str">
        <f>"Project revision: "&amp;IF('00_Project'!$B$12="","",'00_Project'!$B$12)</f>
        <v xml:space="preserve">Project revision: </v>
      </c>
      <c r="E6" s="29"/>
      <c r="F6" s="29"/>
      <c r="G6" s="29"/>
    </row>
    <row r="7" spans="1:7" ht="24" customHeight="1">
      <c r="A7" s="30" t="str">
        <f>"Document status: "&amp;IF('00_Project'!$B$13="","",'00_Project'!$B$13)</f>
        <v>Document status: Draft</v>
      </c>
      <c r="B7" s="30"/>
      <c r="C7" s="30"/>
      <c r="D7" s="30" t="str">
        <f>"Issue date: "&amp;IF('00_Project'!$B$17="","",TEXT('00_Project'!$B$17,"dd-mmm-yyyy"))</f>
        <v xml:space="preserve">Issue date: </v>
      </c>
      <c r="E7" s="30"/>
      <c r="F7" s="30"/>
      <c r="G7" s="30"/>
    </row>
    <row r="8" spans="1:7" ht="44.1" customHeight="1">
      <c r="A8" s="25" t="s">
        <v>183</v>
      </c>
      <c r="B8" s="25"/>
      <c r="C8" s="25"/>
      <c r="D8" s="25"/>
      <c r="E8" s="25"/>
      <c r="F8" s="25"/>
      <c r="G8" s="25"/>
    </row>
    <row r="9" spans="1:7" ht="26.1" customHeight="1">
      <c r="A9" s="29" t="str">
        <f>"Prepared by: "&amp;IF('00_Project'!$B$14="","",'00_Project'!$B$14)</f>
        <v xml:space="preserve">Prepared by: </v>
      </c>
      <c r="B9" s="29"/>
      <c r="C9" s="29"/>
      <c r="D9" s="29" t="str">
        <f>"Reviewed by: "&amp;IF('00_Project'!$B$15="","",'00_Project'!$B$15)&amp;" / Approved by: "&amp;IF('00_Project'!$B$16="","",'00_Project'!$B$16)</f>
        <v xml:space="preserve">Reviewed by:  / Approved by: </v>
      </c>
      <c r="E9" s="29"/>
      <c r="F9" s="29"/>
      <c r="G9" s="29"/>
    </row>
    <row r="10" spans="1:7" ht="24" customHeight="1">
      <c r="A10" s="1"/>
      <c r="B10" s="1"/>
      <c r="C10" s="1"/>
      <c r="D10" s="1"/>
      <c r="E10" s="1"/>
      <c r="F10" s="1"/>
      <c r="G10" s="1"/>
    </row>
    <row r="11" spans="1:7" ht="9" customHeight="1">
      <c r="A11" s="1"/>
      <c r="B11" s="1"/>
      <c r="C11" s="1"/>
      <c r="D11" s="1"/>
      <c r="E11" s="1"/>
      <c r="F11" s="1"/>
      <c r="G11" s="1"/>
    </row>
    <row r="12" spans="1:7" ht="42" customHeight="1">
      <c r="A12" s="14" t="s">
        <v>177</v>
      </c>
      <c r="B12" s="14" t="s">
        <v>179</v>
      </c>
      <c r="C12" s="14" t="s">
        <v>184</v>
      </c>
      <c r="D12" s="14" t="s">
        <v>185</v>
      </c>
      <c r="E12" s="14" t="s">
        <v>186</v>
      </c>
      <c r="F12" s="14" t="s">
        <v>187</v>
      </c>
      <c r="G12" s="14" t="s">
        <v>188</v>
      </c>
    </row>
    <row r="13" spans="1:7" ht="24" customHeight="1">
      <c r="A13" s="16"/>
      <c r="B13" s="16"/>
      <c r="C13" s="13"/>
      <c r="D13" s="13"/>
      <c r="E13" s="13"/>
      <c r="F13" s="13"/>
      <c r="G13" s="13"/>
    </row>
    <row r="14" spans="1:7" ht="24" customHeight="1">
      <c r="A14" s="16"/>
      <c r="B14" s="16"/>
      <c r="C14" s="13"/>
      <c r="D14" s="13"/>
      <c r="E14" s="13"/>
      <c r="F14" s="13"/>
      <c r="G14" s="13"/>
    </row>
    <row r="15" spans="1:7" ht="24" customHeight="1">
      <c r="A15" s="16"/>
      <c r="B15" s="16"/>
      <c r="C15" s="13"/>
      <c r="D15" s="13"/>
      <c r="E15" s="13"/>
      <c r="F15" s="13"/>
      <c r="G15" s="13"/>
    </row>
    <row r="16" spans="1:7" ht="24" customHeight="1">
      <c r="A16" s="16"/>
      <c r="B16" s="16"/>
      <c r="C16" s="13"/>
      <c r="D16" s="13"/>
      <c r="E16" s="13"/>
      <c r="F16" s="13"/>
      <c r="G16" s="13"/>
    </row>
    <row r="17" spans="1:7" ht="24" customHeight="1">
      <c r="A17" s="16"/>
      <c r="B17" s="16"/>
      <c r="C17" s="13"/>
      <c r="D17" s="13"/>
      <c r="E17" s="13"/>
      <c r="F17" s="13"/>
      <c r="G17" s="13"/>
    </row>
    <row r="18" spans="1:7" ht="24" customHeight="1">
      <c r="A18" s="16"/>
      <c r="B18" s="16"/>
      <c r="C18" s="13"/>
      <c r="D18" s="13"/>
      <c r="E18" s="13"/>
      <c r="F18" s="13"/>
      <c r="G18" s="13"/>
    </row>
    <row r="19" spans="1:7" ht="24" customHeight="1">
      <c r="A19" s="16"/>
      <c r="B19" s="16"/>
      <c r="C19" s="13"/>
      <c r="D19" s="13"/>
      <c r="E19" s="13"/>
      <c r="F19" s="13"/>
      <c r="G19" s="13"/>
    </row>
    <row r="20" spans="1:7" ht="24" customHeight="1">
      <c r="A20" s="16"/>
      <c r="B20" s="16"/>
      <c r="C20" s="13"/>
      <c r="D20" s="13"/>
      <c r="E20" s="13"/>
      <c r="F20" s="13"/>
      <c r="G20" s="13"/>
    </row>
    <row r="21" spans="1:7" ht="24" customHeight="1">
      <c r="A21" s="16"/>
      <c r="B21" s="16"/>
      <c r="C21" s="13"/>
      <c r="D21" s="13"/>
      <c r="E21" s="13"/>
      <c r="F21" s="13"/>
      <c r="G21" s="13"/>
    </row>
    <row r="22" spans="1:7" ht="24" customHeight="1">
      <c r="A22" s="16"/>
      <c r="B22" s="16"/>
      <c r="C22" s="13"/>
      <c r="D22" s="13"/>
      <c r="E22" s="13"/>
      <c r="F22" s="13"/>
      <c r="G22" s="13"/>
    </row>
    <row r="23" spans="1:7" ht="24" customHeight="1">
      <c r="A23" s="16"/>
      <c r="B23" s="16"/>
      <c r="C23" s="13"/>
      <c r="D23" s="13"/>
      <c r="E23" s="13"/>
      <c r="F23" s="13"/>
      <c r="G23" s="13"/>
    </row>
    <row r="24" spans="1:7" ht="24" customHeight="1">
      <c r="A24" s="16"/>
      <c r="B24" s="16"/>
      <c r="C24" s="13"/>
      <c r="D24" s="13"/>
      <c r="E24" s="13"/>
      <c r="F24" s="13"/>
      <c r="G24" s="13"/>
    </row>
    <row r="25" spans="1:7" ht="24" customHeight="1">
      <c r="A25" s="16"/>
      <c r="B25" s="16"/>
      <c r="C25" s="13"/>
      <c r="D25" s="13"/>
      <c r="E25" s="13"/>
      <c r="F25" s="13"/>
      <c r="G25" s="13"/>
    </row>
    <row r="26" spans="1:7" ht="24" customHeight="1">
      <c r="A26" s="16"/>
      <c r="B26" s="16"/>
      <c r="C26" s="13"/>
      <c r="D26" s="13"/>
      <c r="E26" s="13"/>
      <c r="F26" s="13"/>
      <c r="G26" s="13"/>
    </row>
    <row r="27" spans="1:7" ht="24" customHeight="1">
      <c r="A27" s="16"/>
      <c r="B27" s="16"/>
      <c r="C27" s="13"/>
      <c r="D27" s="13"/>
      <c r="E27" s="13"/>
      <c r="F27" s="13"/>
      <c r="G27" s="13"/>
    </row>
    <row r="28" spans="1:7" ht="24" customHeight="1">
      <c r="A28" s="16"/>
      <c r="B28" s="16"/>
      <c r="C28" s="13"/>
      <c r="D28" s="13"/>
      <c r="E28" s="13"/>
      <c r="F28" s="13"/>
      <c r="G28" s="13"/>
    </row>
    <row r="29" spans="1:7" ht="24" customHeight="1">
      <c r="A29" s="16"/>
      <c r="B29" s="16"/>
      <c r="C29" s="13"/>
      <c r="D29" s="13"/>
      <c r="E29" s="13"/>
      <c r="F29" s="13"/>
      <c r="G29" s="13"/>
    </row>
    <row r="30" spans="1:7" ht="24" customHeight="1">
      <c r="A30" s="16"/>
      <c r="B30" s="16"/>
      <c r="C30" s="13"/>
      <c r="D30" s="13"/>
      <c r="E30" s="13"/>
      <c r="F30" s="13"/>
      <c r="G30" s="13"/>
    </row>
    <row r="31" spans="1:7" ht="24" customHeight="1">
      <c r="A31" s="16"/>
      <c r="B31" s="16"/>
      <c r="C31" s="13"/>
      <c r="D31" s="13"/>
      <c r="E31" s="13"/>
      <c r="F31" s="13"/>
      <c r="G31" s="13"/>
    </row>
    <row r="32" spans="1:7" ht="24" customHeight="1">
      <c r="A32" s="16"/>
      <c r="B32" s="16"/>
      <c r="C32" s="13"/>
      <c r="D32" s="13"/>
      <c r="E32" s="13"/>
      <c r="F32" s="13"/>
      <c r="G32" s="13"/>
    </row>
    <row r="33" spans="1:7" ht="24" customHeight="1">
      <c r="A33" s="16"/>
      <c r="B33" s="16"/>
      <c r="C33" s="13"/>
      <c r="D33" s="13"/>
      <c r="E33" s="13"/>
      <c r="F33" s="13"/>
      <c r="G33" s="13"/>
    </row>
    <row r="34" spans="1:7" ht="24" customHeight="1">
      <c r="A34" s="16"/>
      <c r="B34" s="16"/>
      <c r="C34" s="13"/>
      <c r="D34" s="13"/>
      <c r="E34" s="13"/>
      <c r="F34" s="13"/>
      <c r="G34" s="13"/>
    </row>
    <row r="35" spans="1:7" ht="24" customHeight="1">
      <c r="A35" s="16"/>
      <c r="B35" s="16"/>
      <c r="C35" s="13"/>
      <c r="D35" s="13"/>
      <c r="E35" s="13"/>
      <c r="F35" s="13"/>
      <c r="G35" s="13"/>
    </row>
    <row r="36" spans="1:7" ht="24" customHeight="1">
      <c r="A36" s="16"/>
      <c r="B36" s="16"/>
      <c r="C36" s="13"/>
      <c r="D36" s="13"/>
      <c r="E36" s="13"/>
      <c r="F36" s="13"/>
      <c r="G36" s="13"/>
    </row>
    <row r="37" spans="1:7" ht="24" customHeight="1">
      <c r="A37" s="16"/>
      <c r="B37" s="16"/>
      <c r="C37" s="13"/>
      <c r="D37" s="13"/>
      <c r="E37" s="13"/>
      <c r="F37" s="13"/>
      <c r="G37" s="13"/>
    </row>
    <row r="38" spans="1:7" ht="24" customHeight="1">
      <c r="A38" s="16"/>
      <c r="B38" s="16"/>
      <c r="C38" s="13"/>
      <c r="D38" s="13"/>
      <c r="E38" s="13"/>
      <c r="F38" s="13"/>
      <c r="G38" s="13"/>
    </row>
    <row r="39" spans="1:7" ht="24" customHeight="1">
      <c r="A39" s="16"/>
      <c r="B39" s="16"/>
      <c r="C39" s="13"/>
      <c r="D39" s="13"/>
      <c r="E39" s="13"/>
      <c r="F39" s="13"/>
      <c r="G39" s="13"/>
    </row>
    <row r="40" spans="1:7" ht="24" customHeight="1">
      <c r="A40" s="16"/>
      <c r="B40" s="16"/>
      <c r="C40" s="13"/>
      <c r="D40" s="13"/>
      <c r="E40" s="13"/>
      <c r="F40" s="13"/>
      <c r="G40" s="13"/>
    </row>
    <row r="41" spans="1:7" ht="24" customHeight="1">
      <c r="A41" s="16"/>
      <c r="B41" s="16"/>
      <c r="C41" s="13"/>
      <c r="D41" s="13"/>
      <c r="E41" s="13"/>
      <c r="F41" s="13"/>
      <c r="G41" s="13"/>
    </row>
    <row r="42" spans="1:7" ht="24" customHeight="1">
      <c r="A42" s="16"/>
      <c r="B42" s="16"/>
      <c r="C42" s="13"/>
      <c r="D42" s="13"/>
      <c r="E42" s="13"/>
      <c r="F42" s="13"/>
      <c r="G42" s="13"/>
    </row>
    <row r="43" spans="1:7" ht="24" customHeight="1">
      <c r="A43" s="16"/>
      <c r="B43" s="16"/>
      <c r="C43" s="13"/>
      <c r="D43" s="13"/>
      <c r="E43" s="13"/>
      <c r="F43" s="13"/>
      <c r="G43" s="13"/>
    </row>
    <row r="44" spans="1:7" ht="24" customHeight="1">
      <c r="A44" s="16"/>
      <c r="B44" s="16"/>
      <c r="C44" s="13"/>
      <c r="D44" s="13"/>
      <c r="E44" s="13"/>
      <c r="F44" s="13"/>
      <c r="G44" s="13"/>
    </row>
    <row r="45" spans="1:7" ht="24" customHeight="1">
      <c r="A45" s="16"/>
      <c r="B45" s="16"/>
      <c r="C45" s="13"/>
      <c r="D45" s="13"/>
      <c r="E45" s="13"/>
      <c r="F45" s="13"/>
      <c r="G45" s="13"/>
    </row>
    <row r="46" spans="1:7" ht="24" customHeight="1">
      <c r="A46" s="16"/>
      <c r="B46" s="16"/>
      <c r="C46" s="13"/>
      <c r="D46" s="13"/>
      <c r="E46" s="13"/>
      <c r="F46" s="13"/>
      <c r="G46" s="13"/>
    </row>
    <row r="47" spans="1:7" ht="24" customHeight="1">
      <c r="A47" s="16"/>
      <c r="B47" s="16"/>
      <c r="C47" s="13"/>
      <c r="D47" s="13"/>
      <c r="E47" s="13"/>
      <c r="F47" s="13"/>
      <c r="G47" s="13"/>
    </row>
    <row r="48" spans="1:7" ht="24" customHeight="1">
      <c r="A48" s="16"/>
      <c r="B48" s="16"/>
      <c r="C48" s="13"/>
      <c r="D48" s="13"/>
      <c r="E48" s="13"/>
      <c r="F48" s="13"/>
      <c r="G48" s="13"/>
    </row>
    <row r="49" spans="1:7" ht="24" customHeight="1">
      <c r="A49" s="16"/>
      <c r="B49" s="16"/>
      <c r="C49" s="13"/>
      <c r="D49" s="13"/>
      <c r="E49" s="13"/>
      <c r="F49" s="13"/>
      <c r="G49" s="13"/>
    </row>
    <row r="50" spans="1:7" ht="24" customHeight="1">
      <c r="A50" s="16"/>
      <c r="B50" s="16"/>
      <c r="C50" s="13"/>
      <c r="D50" s="13"/>
      <c r="E50" s="13"/>
      <c r="F50" s="13"/>
      <c r="G50" s="13"/>
    </row>
    <row r="51" spans="1:7" ht="24" customHeight="1">
      <c r="A51" s="16"/>
      <c r="B51" s="16"/>
      <c r="C51" s="13"/>
      <c r="D51" s="13"/>
      <c r="E51" s="13"/>
      <c r="F51" s="13"/>
      <c r="G51" s="13"/>
    </row>
    <row r="52" spans="1:7" ht="24" customHeight="1">
      <c r="A52" s="16"/>
      <c r="B52" s="16"/>
      <c r="C52" s="13"/>
      <c r="D52" s="13"/>
      <c r="E52" s="13"/>
      <c r="F52" s="13"/>
      <c r="G52" s="13"/>
    </row>
    <row r="53" spans="1:7" ht="24" customHeight="1">
      <c r="A53" s="16"/>
      <c r="B53" s="16"/>
      <c r="C53" s="13"/>
      <c r="D53" s="13"/>
      <c r="E53" s="13"/>
      <c r="F53" s="13"/>
      <c r="G53" s="13"/>
    </row>
    <row r="54" spans="1:7" ht="24" customHeight="1">
      <c r="A54" s="16"/>
      <c r="B54" s="16"/>
      <c r="C54" s="13"/>
      <c r="D54" s="13"/>
      <c r="E54" s="13"/>
      <c r="F54" s="13"/>
      <c r="G54" s="13"/>
    </row>
    <row r="55" spans="1:7" ht="24" customHeight="1">
      <c r="A55" s="16"/>
      <c r="B55" s="16"/>
      <c r="C55" s="13"/>
      <c r="D55" s="13"/>
      <c r="E55" s="13"/>
      <c r="F55" s="13"/>
      <c r="G55" s="13"/>
    </row>
    <row r="56" spans="1:7" ht="24" customHeight="1">
      <c r="A56" s="16"/>
      <c r="B56" s="16"/>
      <c r="C56" s="13"/>
      <c r="D56" s="13"/>
      <c r="E56" s="13"/>
      <c r="F56" s="13"/>
      <c r="G56" s="13"/>
    </row>
    <row r="57" spans="1:7" ht="24" customHeight="1">
      <c r="A57" s="16"/>
      <c r="B57" s="16"/>
      <c r="C57" s="13"/>
      <c r="D57" s="13"/>
      <c r="E57" s="13"/>
      <c r="F57" s="13"/>
      <c r="G57" s="13"/>
    </row>
    <row r="58" spans="1:7" ht="24" customHeight="1">
      <c r="A58" s="16"/>
      <c r="B58" s="16"/>
      <c r="C58" s="13"/>
      <c r="D58" s="13"/>
      <c r="E58" s="13"/>
      <c r="F58" s="13"/>
      <c r="G58" s="13"/>
    </row>
    <row r="59" spans="1:7" ht="24" customHeight="1">
      <c r="A59" s="16"/>
      <c r="B59" s="16"/>
      <c r="C59" s="13"/>
      <c r="D59" s="13"/>
      <c r="E59" s="13"/>
      <c r="F59" s="13"/>
      <c r="G59" s="13"/>
    </row>
    <row r="60" spans="1:7" ht="24" customHeight="1">
      <c r="A60" s="16"/>
      <c r="B60" s="16"/>
      <c r="C60" s="13"/>
      <c r="D60" s="13"/>
      <c r="E60" s="13"/>
      <c r="F60" s="13"/>
      <c r="G60" s="13"/>
    </row>
    <row r="61" spans="1:7" ht="24" customHeight="1">
      <c r="A61" s="16"/>
      <c r="B61" s="16"/>
      <c r="C61" s="13"/>
      <c r="D61" s="13"/>
      <c r="E61" s="13"/>
      <c r="F61" s="13"/>
      <c r="G61" s="13"/>
    </row>
    <row r="62" spans="1:7" ht="24" customHeight="1">
      <c r="A62" s="16"/>
      <c r="B62" s="16"/>
      <c r="C62" s="13"/>
      <c r="D62" s="13"/>
      <c r="E62" s="13"/>
      <c r="F62" s="13"/>
      <c r="G62" s="13"/>
    </row>
    <row r="63" spans="1:7" ht="24" customHeight="1">
      <c r="A63" s="16"/>
      <c r="B63" s="16"/>
      <c r="C63" s="13"/>
      <c r="D63" s="13"/>
      <c r="E63" s="13"/>
      <c r="F63" s="13"/>
      <c r="G63" s="13"/>
    </row>
    <row r="64" spans="1:7" ht="24" customHeight="1">
      <c r="A64" s="16"/>
      <c r="B64" s="16"/>
      <c r="C64" s="13"/>
      <c r="D64" s="13"/>
      <c r="E64" s="13"/>
      <c r="F64" s="13"/>
      <c r="G64" s="13"/>
    </row>
    <row r="65" spans="1:7" ht="24" customHeight="1">
      <c r="A65" s="16"/>
      <c r="B65" s="16"/>
      <c r="C65" s="13"/>
      <c r="D65" s="13"/>
      <c r="E65" s="13"/>
      <c r="F65" s="13"/>
      <c r="G65" s="13"/>
    </row>
    <row r="66" spans="1:7" ht="24" customHeight="1">
      <c r="A66" s="16"/>
      <c r="B66" s="16"/>
      <c r="C66" s="13"/>
      <c r="D66" s="13"/>
      <c r="E66" s="13"/>
      <c r="F66" s="13"/>
      <c r="G66" s="13"/>
    </row>
    <row r="67" spans="1:7" ht="24" customHeight="1">
      <c r="A67" s="16"/>
      <c r="B67" s="16"/>
      <c r="C67" s="13"/>
      <c r="D67" s="13"/>
      <c r="E67" s="13"/>
      <c r="F67" s="13"/>
      <c r="G67" s="13"/>
    </row>
    <row r="68" spans="1:7" ht="24" customHeight="1">
      <c r="A68" s="16"/>
      <c r="B68" s="16"/>
      <c r="C68" s="13"/>
      <c r="D68" s="13"/>
      <c r="E68" s="13"/>
      <c r="F68" s="13"/>
      <c r="G68" s="13"/>
    </row>
    <row r="69" spans="1:7" ht="24" customHeight="1">
      <c r="A69" s="16"/>
      <c r="B69" s="16"/>
      <c r="C69" s="13"/>
      <c r="D69" s="13"/>
      <c r="E69" s="13"/>
      <c r="F69" s="13"/>
      <c r="G69" s="13"/>
    </row>
    <row r="70" spans="1:7" ht="24" customHeight="1">
      <c r="A70" s="16"/>
      <c r="B70" s="16"/>
      <c r="C70" s="13"/>
      <c r="D70" s="13"/>
      <c r="E70" s="13"/>
      <c r="F70" s="13"/>
      <c r="G70" s="13"/>
    </row>
    <row r="71" spans="1:7" ht="24" customHeight="1">
      <c r="A71" s="16"/>
      <c r="B71" s="16"/>
      <c r="C71" s="13"/>
      <c r="D71" s="13"/>
      <c r="E71" s="13"/>
      <c r="F71" s="13"/>
      <c r="G71" s="13"/>
    </row>
    <row r="72" spans="1:7" ht="24" customHeight="1">
      <c r="A72" s="16"/>
      <c r="B72" s="16"/>
      <c r="C72" s="13"/>
      <c r="D72" s="13"/>
      <c r="E72" s="13"/>
      <c r="F72" s="13"/>
      <c r="G72" s="13"/>
    </row>
    <row r="73" spans="1:7" ht="24" customHeight="1">
      <c r="A73" s="16"/>
      <c r="B73" s="16"/>
      <c r="C73" s="13"/>
      <c r="D73" s="13"/>
      <c r="E73" s="13"/>
      <c r="F73" s="13"/>
      <c r="G73" s="13"/>
    </row>
    <row r="74" spans="1:7" ht="24" customHeight="1">
      <c r="A74" s="16"/>
      <c r="B74" s="16"/>
      <c r="C74" s="13"/>
      <c r="D74" s="13"/>
      <c r="E74" s="13"/>
      <c r="F74" s="13"/>
      <c r="G74" s="13"/>
    </row>
    <row r="75" spans="1:7" ht="24" customHeight="1">
      <c r="A75" s="16"/>
      <c r="B75" s="16"/>
      <c r="C75" s="13"/>
      <c r="D75" s="13"/>
      <c r="E75" s="13"/>
      <c r="F75" s="13"/>
      <c r="G75" s="13"/>
    </row>
    <row r="76" spans="1:7" ht="24" customHeight="1">
      <c r="A76" s="16"/>
      <c r="B76" s="16"/>
      <c r="C76" s="13"/>
      <c r="D76" s="13"/>
      <c r="E76" s="13"/>
      <c r="F76" s="13"/>
      <c r="G76" s="13"/>
    </row>
    <row r="77" spans="1:7" ht="24" customHeight="1">
      <c r="A77" s="16"/>
      <c r="B77" s="16"/>
      <c r="C77" s="13"/>
      <c r="D77" s="13"/>
      <c r="E77" s="13"/>
      <c r="F77" s="13"/>
      <c r="G77" s="13"/>
    </row>
    <row r="78" spans="1:7" ht="24" customHeight="1">
      <c r="A78" s="16"/>
      <c r="B78" s="16"/>
      <c r="C78" s="13"/>
      <c r="D78" s="13"/>
      <c r="E78" s="13"/>
      <c r="F78" s="13"/>
      <c r="G78" s="13"/>
    </row>
    <row r="79" spans="1:7" ht="24" customHeight="1">
      <c r="A79" s="16"/>
      <c r="B79" s="16"/>
      <c r="C79" s="13"/>
      <c r="D79" s="13"/>
      <c r="E79" s="13"/>
      <c r="F79" s="13"/>
      <c r="G79" s="13"/>
    </row>
    <row r="80" spans="1:7" ht="24" customHeight="1">
      <c r="A80" s="16"/>
      <c r="B80" s="16"/>
      <c r="C80" s="13"/>
      <c r="D80" s="13"/>
      <c r="E80" s="13"/>
      <c r="F80" s="13"/>
      <c r="G80" s="13"/>
    </row>
    <row r="81" spans="1:7" ht="24" customHeight="1">
      <c r="A81" s="16"/>
      <c r="B81" s="16"/>
      <c r="C81" s="13"/>
      <c r="D81" s="13"/>
      <c r="E81" s="13"/>
      <c r="F81" s="13"/>
      <c r="G81" s="13"/>
    </row>
    <row r="82" spans="1:7" ht="24" customHeight="1">
      <c r="A82" s="16"/>
      <c r="B82" s="16"/>
      <c r="C82" s="13"/>
      <c r="D82" s="13"/>
      <c r="E82" s="13"/>
      <c r="F82" s="13"/>
      <c r="G82" s="13"/>
    </row>
    <row r="83" spans="1:7" ht="24" customHeight="1">
      <c r="A83" s="16"/>
      <c r="B83" s="16"/>
      <c r="C83" s="13"/>
      <c r="D83" s="13"/>
      <c r="E83" s="13"/>
      <c r="F83" s="13"/>
      <c r="G83" s="13"/>
    </row>
    <row r="84" spans="1:7" ht="24" customHeight="1">
      <c r="A84" s="16"/>
      <c r="B84" s="16"/>
      <c r="C84" s="13"/>
      <c r="D84" s="13"/>
      <c r="E84" s="13"/>
      <c r="F84" s="13"/>
      <c r="G84" s="13"/>
    </row>
    <row r="85" spans="1:7" ht="24" customHeight="1">
      <c r="A85" s="16"/>
      <c r="B85" s="16"/>
      <c r="C85" s="13"/>
      <c r="D85" s="13"/>
      <c r="E85" s="13"/>
      <c r="F85" s="13"/>
      <c r="G85" s="13"/>
    </row>
    <row r="86" spans="1:7" ht="24" customHeight="1">
      <c r="A86" s="16"/>
      <c r="B86" s="16"/>
      <c r="C86" s="13"/>
      <c r="D86" s="13"/>
      <c r="E86" s="13"/>
      <c r="F86" s="13"/>
      <c r="G86" s="13"/>
    </row>
    <row r="87" spans="1:7" ht="24" customHeight="1">
      <c r="A87" s="16"/>
      <c r="B87" s="16"/>
      <c r="C87" s="13"/>
      <c r="D87" s="13"/>
      <c r="E87" s="13"/>
      <c r="F87" s="13"/>
      <c r="G87" s="13"/>
    </row>
    <row r="88" spans="1:7" ht="24" customHeight="1">
      <c r="A88" s="16"/>
      <c r="B88" s="16"/>
      <c r="C88" s="13"/>
      <c r="D88" s="13"/>
      <c r="E88" s="13"/>
      <c r="F88" s="13"/>
      <c r="G88" s="13"/>
    </row>
    <row r="89" spans="1:7" ht="24" customHeight="1">
      <c r="A89" s="16"/>
      <c r="B89" s="16"/>
      <c r="C89" s="13"/>
      <c r="D89" s="13"/>
      <c r="E89" s="13"/>
      <c r="F89" s="13"/>
      <c r="G89" s="13"/>
    </row>
    <row r="90" spans="1:7" ht="24" customHeight="1">
      <c r="A90" s="16"/>
      <c r="B90" s="16"/>
      <c r="C90" s="13"/>
      <c r="D90" s="13"/>
      <c r="E90" s="13"/>
      <c r="F90" s="13"/>
      <c r="G90" s="13"/>
    </row>
    <row r="91" spans="1:7" ht="24" customHeight="1">
      <c r="A91" s="16"/>
      <c r="B91" s="16"/>
      <c r="C91" s="13"/>
      <c r="D91" s="13"/>
      <c r="E91" s="13"/>
      <c r="F91" s="13"/>
      <c r="G91" s="13"/>
    </row>
    <row r="92" spans="1:7" ht="24" customHeight="1">
      <c r="A92" s="16"/>
      <c r="B92" s="16"/>
      <c r="C92" s="13"/>
      <c r="D92" s="13"/>
      <c r="E92" s="13"/>
      <c r="F92" s="13"/>
      <c r="G92" s="13"/>
    </row>
    <row r="93" spans="1:7" ht="24" customHeight="1">
      <c r="A93" s="16"/>
      <c r="B93" s="16"/>
      <c r="C93" s="13"/>
      <c r="D93" s="13"/>
      <c r="E93" s="13"/>
      <c r="F93" s="13"/>
      <c r="G93" s="13"/>
    </row>
    <row r="94" spans="1:7" ht="24" customHeight="1">
      <c r="A94" s="16"/>
      <c r="B94" s="16"/>
      <c r="C94" s="13"/>
      <c r="D94" s="13"/>
      <c r="E94" s="13"/>
      <c r="F94" s="13"/>
      <c r="G94" s="13"/>
    </row>
    <row r="95" spans="1:7" ht="24" customHeight="1">
      <c r="A95" s="16"/>
      <c r="B95" s="16"/>
      <c r="C95" s="13"/>
      <c r="D95" s="13"/>
      <c r="E95" s="13"/>
      <c r="F95" s="13"/>
      <c r="G95" s="13"/>
    </row>
    <row r="96" spans="1:7" ht="24" customHeight="1">
      <c r="A96" s="16"/>
      <c r="B96" s="16"/>
      <c r="C96" s="13"/>
      <c r="D96" s="13"/>
      <c r="E96" s="13"/>
      <c r="F96" s="13"/>
      <c r="G96" s="13"/>
    </row>
    <row r="97" spans="1:7" ht="24" customHeight="1">
      <c r="A97" s="16"/>
      <c r="B97" s="16"/>
      <c r="C97" s="13"/>
      <c r="D97" s="13"/>
      <c r="E97" s="13"/>
      <c r="F97" s="13"/>
      <c r="G97" s="13"/>
    </row>
    <row r="98" spans="1:7" ht="24" customHeight="1">
      <c r="A98" s="16"/>
      <c r="B98" s="16"/>
      <c r="C98" s="13"/>
      <c r="D98" s="13"/>
      <c r="E98" s="13"/>
      <c r="F98" s="13"/>
      <c r="G98" s="13"/>
    </row>
    <row r="99" spans="1:7" ht="24" customHeight="1">
      <c r="A99" s="16"/>
      <c r="B99" s="16"/>
      <c r="C99" s="13"/>
      <c r="D99" s="13"/>
      <c r="E99" s="13"/>
      <c r="F99" s="13"/>
      <c r="G99" s="13"/>
    </row>
    <row r="100" spans="1:7" ht="24" customHeight="1">
      <c r="A100" s="16"/>
      <c r="B100" s="16"/>
      <c r="C100" s="13"/>
      <c r="D100" s="13"/>
      <c r="E100" s="13"/>
      <c r="F100" s="13"/>
      <c r="G100" s="13"/>
    </row>
    <row r="101" spans="1:7" ht="24" customHeight="1">
      <c r="A101" s="16"/>
      <c r="B101" s="16"/>
      <c r="C101" s="13"/>
      <c r="D101" s="13"/>
      <c r="E101" s="13"/>
      <c r="F101" s="13"/>
      <c r="G101" s="13"/>
    </row>
    <row r="102" spans="1:7" ht="24" customHeight="1">
      <c r="A102" s="16"/>
      <c r="B102" s="16"/>
      <c r="C102" s="13"/>
      <c r="D102" s="13"/>
      <c r="E102" s="13"/>
      <c r="F102" s="13"/>
      <c r="G102" s="13"/>
    </row>
    <row r="103" spans="1:7" ht="24" customHeight="1">
      <c r="A103" s="16"/>
      <c r="B103" s="16"/>
      <c r="C103" s="13"/>
      <c r="D103" s="13"/>
      <c r="E103" s="13"/>
      <c r="F103" s="13"/>
      <c r="G103" s="13"/>
    </row>
    <row r="104" spans="1:7" ht="24" customHeight="1">
      <c r="A104" s="16"/>
      <c r="B104" s="16"/>
      <c r="C104" s="13"/>
      <c r="D104" s="13"/>
      <c r="E104" s="13"/>
      <c r="F104" s="13"/>
      <c r="G104" s="13"/>
    </row>
    <row r="105" spans="1:7" ht="24" customHeight="1">
      <c r="A105" s="16"/>
      <c r="B105" s="16"/>
      <c r="C105" s="13"/>
      <c r="D105" s="13"/>
      <c r="E105" s="13"/>
      <c r="F105" s="13"/>
      <c r="G105" s="13"/>
    </row>
    <row r="106" spans="1:7" ht="24" customHeight="1">
      <c r="A106" s="16"/>
      <c r="B106" s="16"/>
      <c r="C106" s="13"/>
      <c r="D106" s="13"/>
      <c r="E106" s="13"/>
      <c r="F106" s="13"/>
      <c r="G106" s="13"/>
    </row>
    <row r="107" spans="1:7" ht="24" customHeight="1">
      <c r="A107" s="16"/>
      <c r="B107" s="16"/>
      <c r="C107" s="13"/>
      <c r="D107" s="13"/>
      <c r="E107" s="13"/>
      <c r="F107" s="13"/>
      <c r="G107" s="13"/>
    </row>
    <row r="108" spans="1:7" ht="24" customHeight="1">
      <c r="A108" s="16"/>
      <c r="B108" s="16"/>
      <c r="C108" s="13"/>
      <c r="D108" s="13"/>
      <c r="E108" s="13"/>
      <c r="F108" s="13"/>
      <c r="G108" s="13"/>
    </row>
    <row r="109" spans="1:7" ht="24" customHeight="1">
      <c r="A109" s="16"/>
      <c r="B109" s="16"/>
      <c r="C109" s="13"/>
      <c r="D109" s="13"/>
      <c r="E109" s="13"/>
      <c r="F109" s="13"/>
      <c r="G109" s="13"/>
    </row>
    <row r="110" spans="1:7" ht="24" customHeight="1">
      <c r="A110" s="16"/>
      <c r="B110" s="16"/>
      <c r="C110" s="13"/>
      <c r="D110" s="13"/>
      <c r="E110" s="13"/>
      <c r="F110" s="13"/>
      <c r="G110" s="13"/>
    </row>
    <row r="111" spans="1:7" ht="24" customHeight="1">
      <c r="A111" s="16"/>
      <c r="B111" s="16"/>
      <c r="C111" s="13"/>
      <c r="D111" s="13"/>
      <c r="E111" s="13"/>
      <c r="F111" s="13"/>
      <c r="G111" s="13"/>
    </row>
    <row r="112" spans="1:7" ht="24" customHeight="1">
      <c r="A112" s="16"/>
      <c r="B112" s="16"/>
      <c r="C112" s="13"/>
      <c r="D112" s="13"/>
      <c r="E112" s="13"/>
      <c r="F112" s="13"/>
      <c r="G112" s="13"/>
    </row>
    <row r="113" spans="1:7" ht="24" customHeight="1">
      <c r="A113" s="16"/>
      <c r="B113" s="16"/>
      <c r="C113" s="13"/>
      <c r="D113" s="13"/>
      <c r="E113" s="13"/>
      <c r="F113" s="13"/>
      <c r="G113" s="13"/>
    </row>
    <row r="114" spans="1:7" ht="24" customHeight="1">
      <c r="A114" s="16"/>
      <c r="B114" s="16"/>
      <c r="C114" s="13"/>
      <c r="D114" s="13"/>
      <c r="E114" s="13"/>
      <c r="F114" s="13"/>
      <c r="G114" s="13"/>
    </row>
    <row r="115" spans="1:7" ht="24" customHeight="1">
      <c r="A115" s="16"/>
      <c r="B115" s="16"/>
      <c r="C115" s="13"/>
      <c r="D115" s="13"/>
      <c r="E115" s="13"/>
      <c r="F115" s="13"/>
      <c r="G115" s="13"/>
    </row>
    <row r="116" spans="1:7" ht="24" customHeight="1">
      <c r="A116" s="16"/>
      <c r="B116" s="16"/>
      <c r="C116" s="13"/>
      <c r="D116" s="13"/>
      <c r="E116" s="13"/>
      <c r="F116" s="13"/>
      <c r="G116" s="13"/>
    </row>
    <row r="117" spans="1:7" ht="24" customHeight="1">
      <c r="A117" s="16"/>
      <c r="B117" s="16"/>
      <c r="C117" s="13"/>
      <c r="D117" s="13"/>
      <c r="E117" s="13"/>
      <c r="F117" s="13"/>
      <c r="G117" s="13"/>
    </row>
    <row r="118" spans="1:7" ht="24" customHeight="1">
      <c r="A118" s="16"/>
      <c r="B118" s="16"/>
      <c r="C118" s="13"/>
      <c r="D118" s="13"/>
      <c r="E118" s="13"/>
      <c r="F118" s="13"/>
      <c r="G118" s="13"/>
    </row>
    <row r="119" spans="1:7" ht="24" customHeight="1">
      <c r="A119" s="16"/>
      <c r="B119" s="16"/>
      <c r="C119" s="13"/>
      <c r="D119" s="13"/>
      <c r="E119" s="13"/>
      <c r="F119" s="13"/>
      <c r="G119" s="13"/>
    </row>
    <row r="120" spans="1:7" ht="24" customHeight="1">
      <c r="A120" s="16"/>
      <c r="B120" s="16"/>
      <c r="C120" s="13"/>
      <c r="D120" s="13"/>
      <c r="E120" s="13"/>
      <c r="F120" s="13"/>
      <c r="G120" s="13"/>
    </row>
    <row r="121" spans="1:7" ht="24" customHeight="1">
      <c r="A121" s="16"/>
      <c r="B121" s="16"/>
      <c r="C121" s="13"/>
      <c r="D121" s="13"/>
      <c r="E121" s="13"/>
      <c r="F121" s="13"/>
      <c r="G121" s="13"/>
    </row>
    <row r="122" spans="1:7" ht="24" customHeight="1">
      <c r="A122" s="16"/>
      <c r="B122" s="16"/>
      <c r="C122" s="13"/>
      <c r="D122" s="13"/>
      <c r="E122" s="13"/>
      <c r="F122" s="13"/>
      <c r="G122" s="13"/>
    </row>
    <row r="123" spans="1:7" ht="24" customHeight="1">
      <c r="A123" s="16"/>
      <c r="B123" s="16"/>
      <c r="C123" s="13"/>
      <c r="D123" s="13"/>
      <c r="E123" s="13"/>
      <c r="F123" s="13"/>
      <c r="G123" s="13"/>
    </row>
    <row r="124" spans="1:7" ht="24" customHeight="1">
      <c r="A124" s="16"/>
      <c r="B124" s="16"/>
      <c r="C124" s="13"/>
      <c r="D124" s="13"/>
      <c r="E124" s="13"/>
      <c r="F124" s="13"/>
      <c r="G124" s="13"/>
    </row>
    <row r="125" spans="1:7" ht="24" customHeight="1">
      <c r="A125" s="16"/>
      <c r="B125" s="16"/>
      <c r="C125" s="13"/>
      <c r="D125" s="13"/>
      <c r="E125" s="13"/>
      <c r="F125" s="13"/>
      <c r="G125" s="13"/>
    </row>
    <row r="126" spans="1:7" ht="24" customHeight="1">
      <c r="A126" s="16"/>
      <c r="B126" s="16"/>
      <c r="C126" s="13"/>
      <c r="D126" s="13"/>
      <c r="E126" s="13"/>
      <c r="F126" s="13"/>
      <c r="G126" s="13"/>
    </row>
    <row r="127" spans="1:7" ht="24" customHeight="1">
      <c r="A127" s="16"/>
      <c r="B127" s="16"/>
      <c r="C127" s="13"/>
      <c r="D127" s="13"/>
      <c r="E127" s="13"/>
      <c r="F127" s="13"/>
      <c r="G127" s="13"/>
    </row>
    <row r="128" spans="1:7" ht="24" customHeight="1">
      <c r="A128" s="16"/>
      <c r="B128" s="16"/>
      <c r="C128" s="13"/>
      <c r="D128" s="13"/>
      <c r="E128" s="13"/>
      <c r="F128" s="13"/>
      <c r="G128" s="13"/>
    </row>
    <row r="129" spans="1:7" ht="24" customHeight="1">
      <c r="A129" s="16"/>
      <c r="B129" s="16"/>
      <c r="C129" s="13"/>
      <c r="D129" s="13"/>
      <c r="E129" s="13"/>
      <c r="F129" s="13"/>
      <c r="G129" s="13"/>
    </row>
    <row r="130" spans="1:7" ht="24" customHeight="1">
      <c r="A130" s="16"/>
      <c r="B130" s="16"/>
      <c r="C130" s="13"/>
      <c r="D130" s="13"/>
      <c r="E130" s="13"/>
      <c r="F130" s="13"/>
      <c r="G130" s="13"/>
    </row>
    <row r="131" spans="1:7" ht="24" customHeight="1">
      <c r="A131" s="16"/>
      <c r="B131" s="16"/>
      <c r="C131" s="13"/>
      <c r="D131" s="13"/>
      <c r="E131" s="13"/>
      <c r="F131" s="13"/>
      <c r="G131" s="13"/>
    </row>
    <row r="132" spans="1:7" ht="24" customHeight="1">
      <c r="A132" s="16"/>
      <c r="B132" s="16"/>
      <c r="C132" s="13"/>
      <c r="D132" s="13"/>
      <c r="E132" s="13"/>
      <c r="F132" s="13"/>
      <c r="G132" s="13"/>
    </row>
    <row r="133" spans="1:7" ht="24" customHeight="1">
      <c r="A133" s="16"/>
      <c r="B133" s="16"/>
      <c r="C133" s="13"/>
      <c r="D133" s="13"/>
      <c r="E133" s="13"/>
      <c r="F133" s="13"/>
      <c r="G133" s="13"/>
    </row>
    <row r="134" spans="1:7" ht="24" customHeight="1">
      <c r="A134" s="16"/>
      <c r="B134" s="16"/>
      <c r="C134" s="13"/>
      <c r="D134" s="13"/>
      <c r="E134" s="13"/>
      <c r="F134" s="13"/>
      <c r="G134" s="13"/>
    </row>
    <row r="135" spans="1:7" ht="24" customHeight="1">
      <c r="A135" s="16"/>
      <c r="B135" s="16"/>
      <c r="C135" s="13"/>
      <c r="D135" s="13"/>
      <c r="E135" s="13"/>
      <c r="F135" s="13"/>
      <c r="G135" s="13"/>
    </row>
    <row r="136" spans="1:7" ht="24" customHeight="1">
      <c r="A136" s="16"/>
      <c r="B136" s="16"/>
      <c r="C136" s="13"/>
      <c r="D136" s="13"/>
      <c r="E136" s="13"/>
      <c r="F136" s="13"/>
      <c r="G136" s="13"/>
    </row>
    <row r="137" spans="1:7" ht="24" customHeight="1">
      <c r="A137" s="16"/>
      <c r="B137" s="16"/>
      <c r="C137" s="13"/>
      <c r="D137" s="13"/>
      <c r="E137" s="13"/>
      <c r="F137" s="13"/>
      <c r="G137" s="13"/>
    </row>
    <row r="138" spans="1:7" ht="24" customHeight="1">
      <c r="A138" s="16"/>
      <c r="B138" s="16"/>
      <c r="C138" s="13"/>
      <c r="D138" s="13"/>
      <c r="E138" s="13"/>
      <c r="F138" s="13"/>
      <c r="G138" s="13"/>
    </row>
    <row r="139" spans="1:7" ht="24" customHeight="1">
      <c r="A139" s="16"/>
      <c r="B139" s="16"/>
      <c r="C139" s="13"/>
      <c r="D139" s="13"/>
      <c r="E139" s="13"/>
      <c r="F139" s="13"/>
      <c r="G139" s="13"/>
    </row>
    <row r="140" spans="1:7" ht="24" customHeight="1">
      <c r="A140" s="16"/>
      <c r="B140" s="16"/>
      <c r="C140" s="13"/>
      <c r="D140" s="13"/>
      <c r="E140" s="13"/>
      <c r="F140" s="13"/>
      <c r="G140" s="13"/>
    </row>
    <row r="141" spans="1:7" ht="24" customHeight="1">
      <c r="A141" s="16"/>
      <c r="B141" s="16"/>
      <c r="C141" s="13"/>
      <c r="D141" s="13"/>
      <c r="E141" s="13"/>
      <c r="F141" s="13"/>
      <c r="G141" s="13"/>
    </row>
    <row r="142" spans="1:7" ht="24" customHeight="1">
      <c r="A142" s="16"/>
      <c r="B142" s="16"/>
      <c r="C142" s="13"/>
      <c r="D142" s="13"/>
      <c r="E142" s="13"/>
      <c r="F142" s="13"/>
      <c r="G142" s="13"/>
    </row>
    <row r="143" spans="1:7" ht="24" customHeight="1">
      <c r="A143" s="16"/>
      <c r="B143" s="16"/>
      <c r="C143" s="13"/>
      <c r="D143" s="13"/>
      <c r="E143" s="13"/>
      <c r="F143" s="13"/>
      <c r="G143" s="13"/>
    </row>
    <row r="144" spans="1:7" ht="24" customHeight="1">
      <c r="A144" s="16"/>
      <c r="B144" s="16"/>
      <c r="C144" s="13"/>
      <c r="D144" s="13"/>
      <c r="E144" s="13"/>
      <c r="F144" s="13"/>
      <c r="G144" s="13"/>
    </row>
    <row r="145" spans="1:7" ht="24" customHeight="1">
      <c r="A145" s="16"/>
      <c r="B145" s="16"/>
      <c r="C145" s="13"/>
      <c r="D145" s="13"/>
      <c r="E145" s="13"/>
      <c r="F145" s="13"/>
      <c r="G145" s="13"/>
    </row>
    <row r="146" spans="1:7" ht="24" customHeight="1">
      <c r="A146" s="16"/>
      <c r="B146" s="16"/>
      <c r="C146" s="13"/>
      <c r="D146" s="13"/>
      <c r="E146" s="13"/>
      <c r="F146" s="13"/>
      <c r="G146" s="13"/>
    </row>
    <row r="147" spans="1:7" ht="24" customHeight="1">
      <c r="A147" s="16"/>
      <c r="B147" s="16"/>
      <c r="C147" s="13"/>
      <c r="D147" s="13"/>
      <c r="E147" s="13"/>
      <c r="F147" s="13"/>
      <c r="G147" s="13"/>
    </row>
    <row r="148" spans="1:7" ht="24" customHeight="1">
      <c r="A148" s="16"/>
      <c r="B148" s="16"/>
      <c r="C148" s="13"/>
      <c r="D148" s="13"/>
      <c r="E148" s="13"/>
      <c r="F148" s="13"/>
      <c r="G148" s="13"/>
    </row>
    <row r="149" spans="1:7" ht="24" customHeight="1">
      <c r="A149" s="16"/>
      <c r="B149" s="16"/>
      <c r="C149" s="13"/>
      <c r="D149" s="13"/>
      <c r="E149" s="13"/>
      <c r="F149" s="13"/>
      <c r="G149" s="13"/>
    </row>
    <row r="150" spans="1:7" ht="24" customHeight="1">
      <c r="A150" s="16"/>
      <c r="B150" s="16"/>
      <c r="C150" s="13"/>
      <c r="D150" s="13"/>
      <c r="E150" s="13"/>
      <c r="F150" s="13"/>
      <c r="G150" s="13"/>
    </row>
    <row r="151" spans="1:7" ht="24" customHeight="1">
      <c r="A151" s="16"/>
      <c r="B151" s="16"/>
      <c r="C151" s="13"/>
      <c r="D151" s="13"/>
      <c r="E151" s="13"/>
      <c r="F151" s="13"/>
      <c r="G151" s="13"/>
    </row>
    <row r="152" spans="1:7" ht="24" customHeight="1">
      <c r="A152" s="16"/>
      <c r="B152" s="16"/>
      <c r="C152" s="13"/>
      <c r="D152" s="13"/>
      <c r="E152" s="13"/>
      <c r="F152" s="13"/>
      <c r="G152" s="13"/>
    </row>
    <row r="153" spans="1:7" ht="24" customHeight="1">
      <c r="A153" s="16"/>
      <c r="B153" s="16"/>
      <c r="C153" s="13"/>
      <c r="D153" s="13"/>
      <c r="E153" s="13"/>
      <c r="F153" s="13"/>
      <c r="G153" s="13"/>
    </row>
    <row r="154" spans="1:7" ht="24" customHeight="1">
      <c r="A154" s="16"/>
      <c r="B154" s="16"/>
      <c r="C154" s="13"/>
      <c r="D154" s="13"/>
      <c r="E154" s="13"/>
      <c r="F154" s="13"/>
      <c r="G154" s="13"/>
    </row>
    <row r="155" spans="1:7" ht="24" customHeight="1">
      <c r="A155" s="16"/>
      <c r="B155" s="16"/>
      <c r="C155" s="13"/>
      <c r="D155" s="13"/>
      <c r="E155" s="13"/>
      <c r="F155" s="13"/>
      <c r="G155" s="13"/>
    </row>
    <row r="156" spans="1:7" ht="24" customHeight="1">
      <c r="A156" s="16"/>
      <c r="B156" s="16"/>
      <c r="C156" s="13"/>
      <c r="D156" s="13"/>
      <c r="E156" s="13"/>
      <c r="F156" s="13"/>
      <c r="G156" s="13"/>
    </row>
    <row r="157" spans="1:7" ht="24" customHeight="1">
      <c r="A157" s="16"/>
      <c r="B157" s="16"/>
      <c r="C157" s="13"/>
      <c r="D157" s="13"/>
      <c r="E157" s="13"/>
      <c r="F157" s="13"/>
      <c r="G157" s="13"/>
    </row>
    <row r="158" spans="1:7" ht="24" customHeight="1">
      <c r="A158" s="16"/>
      <c r="B158" s="16"/>
      <c r="C158" s="13"/>
      <c r="D158" s="13"/>
      <c r="E158" s="13"/>
      <c r="F158" s="13"/>
      <c r="G158" s="13"/>
    </row>
    <row r="159" spans="1:7" ht="24" customHeight="1">
      <c r="A159" s="16"/>
      <c r="B159" s="16"/>
      <c r="C159" s="13"/>
      <c r="D159" s="13"/>
      <c r="E159" s="13"/>
      <c r="F159" s="13"/>
      <c r="G159" s="13"/>
    </row>
    <row r="160" spans="1:7" ht="24" customHeight="1">
      <c r="A160" s="16"/>
      <c r="B160" s="16"/>
      <c r="C160" s="13"/>
      <c r="D160" s="13"/>
      <c r="E160" s="13"/>
      <c r="F160" s="13"/>
      <c r="G160" s="13"/>
    </row>
    <row r="161" spans="1:7" ht="24" customHeight="1">
      <c r="A161" s="16"/>
      <c r="B161" s="16"/>
      <c r="C161" s="13"/>
      <c r="D161" s="13"/>
      <c r="E161" s="13"/>
      <c r="F161" s="13"/>
      <c r="G161" s="13"/>
    </row>
    <row r="162" spans="1:7" ht="24" customHeight="1">
      <c r="A162" s="16"/>
      <c r="B162" s="16"/>
      <c r="C162" s="13"/>
      <c r="D162" s="13"/>
      <c r="E162" s="13"/>
      <c r="F162" s="13"/>
      <c r="G162" s="13"/>
    </row>
    <row r="163" spans="1:7" ht="24" customHeight="1">
      <c r="A163" s="16"/>
      <c r="B163" s="16"/>
      <c r="C163" s="13"/>
      <c r="D163" s="13"/>
      <c r="E163" s="13"/>
      <c r="F163" s="13"/>
      <c r="G163" s="13"/>
    </row>
    <row r="164" spans="1:7" ht="24" customHeight="1">
      <c r="A164" s="16"/>
      <c r="B164" s="16"/>
      <c r="C164" s="13"/>
      <c r="D164" s="13"/>
      <c r="E164" s="13"/>
      <c r="F164" s="13"/>
      <c r="G164" s="13"/>
    </row>
    <row r="165" spans="1:7" ht="24" customHeight="1">
      <c r="A165" s="16"/>
      <c r="B165" s="16"/>
      <c r="C165" s="13"/>
      <c r="D165" s="13"/>
      <c r="E165" s="13"/>
      <c r="F165" s="13"/>
      <c r="G165" s="13"/>
    </row>
    <row r="166" spans="1:7" ht="24" customHeight="1">
      <c r="A166" s="16"/>
      <c r="B166" s="16"/>
      <c r="C166" s="13"/>
      <c r="D166" s="13"/>
      <c r="E166" s="13"/>
      <c r="F166" s="13"/>
      <c r="G166" s="13"/>
    </row>
    <row r="167" spans="1:7" ht="24" customHeight="1">
      <c r="A167" s="16"/>
      <c r="B167" s="16"/>
      <c r="C167" s="13"/>
      <c r="D167" s="13"/>
      <c r="E167" s="13"/>
      <c r="F167" s="13"/>
      <c r="G167" s="13"/>
    </row>
    <row r="168" spans="1:7" ht="24" customHeight="1">
      <c r="A168" s="16"/>
      <c r="B168" s="16"/>
      <c r="C168" s="13"/>
      <c r="D168" s="13"/>
      <c r="E168" s="13"/>
      <c r="F168" s="13"/>
      <c r="G168" s="13"/>
    </row>
    <row r="169" spans="1:7" ht="24" customHeight="1">
      <c r="A169" s="16"/>
      <c r="B169" s="16"/>
      <c r="C169" s="13"/>
      <c r="D169" s="13"/>
      <c r="E169" s="13"/>
      <c r="F169" s="13"/>
      <c r="G169" s="13"/>
    </row>
    <row r="170" spans="1:7" ht="24" customHeight="1">
      <c r="A170" s="16"/>
      <c r="B170" s="16"/>
      <c r="C170" s="13"/>
      <c r="D170" s="13"/>
      <c r="E170" s="13"/>
      <c r="F170" s="13"/>
      <c r="G170" s="13"/>
    </row>
    <row r="171" spans="1:7" ht="24" customHeight="1">
      <c r="A171" s="16"/>
      <c r="B171" s="16"/>
      <c r="C171" s="13"/>
      <c r="D171" s="13"/>
      <c r="E171" s="13"/>
      <c r="F171" s="13"/>
      <c r="G171" s="13"/>
    </row>
    <row r="172" spans="1:7" ht="24" customHeight="1">
      <c r="A172" s="16"/>
      <c r="B172" s="16"/>
      <c r="C172" s="13"/>
      <c r="D172" s="13"/>
      <c r="E172" s="13"/>
      <c r="F172" s="13"/>
      <c r="G172" s="13"/>
    </row>
    <row r="173" spans="1:7" ht="24" customHeight="1">
      <c r="A173" s="16"/>
      <c r="B173" s="16"/>
      <c r="C173" s="13"/>
      <c r="D173" s="13"/>
      <c r="E173" s="13"/>
      <c r="F173" s="13"/>
      <c r="G173" s="13"/>
    </row>
    <row r="174" spans="1:7" ht="24" customHeight="1">
      <c r="A174" s="16"/>
      <c r="B174" s="16"/>
      <c r="C174" s="13"/>
      <c r="D174" s="13"/>
      <c r="E174" s="13"/>
      <c r="F174" s="13"/>
      <c r="G174" s="13"/>
    </row>
    <row r="175" spans="1:7" ht="24" customHeight="1">
      <c r="A175" s="16"/>
      <c r="B175" s="16"/>
      <c r="C175" s="13"/>
      <c r="D175" s="13"/>
      <c r="E175" s="13"/>
      <c r="F175" s="13"/>
      <c r="G175" s="13"/>
    </row>
    <row r="176" spans="1:7" ht="24" customHeight="1">
      <c r="A176" s="16"/>
      <c r="B176" s="16"/>
      <c r="C176" s="13"/>
      <c r="D176" s="13"/>
      <c r="E176" s="13"/>
      <c r="F176" s="13"/>
      <c r="G176" s="13"/>
    </row>
    <row r="177" spans="1:7" ht="24" customHeight="1">
      <c r="A177" s="16"/>
      <c r="B177" s="16"/>
      <c r="C177" s="13"/>
      <c r="D177" s="13"/>
      <c r="E177" s="13"/>
      <c r="F177" s="13"/>
      <c r="G177" s="13"/>
    </row>
    <row r="178" spans="1:7" ht="24" customHeight="1">
      <c r="A178" s="16"/>
      <c r="B178" s="16"/>
      <c r="C178" s="13"/>
      <c r="D178" s="13"/>
      <c r="E178" s="13"/>
      <c r="F178" s="13"/>
      <c r="G178" s="13"/>
    </row>
    <row r="179" spans="1:7" ht="24" customHeight="1">
      <c r="A179" s="16"/>
      <c r="B179" s="16"/>
      <c r="C179" s="13"/>
      <c r="D179" s="13"/>
      <c r="E179" s="13"/>
      <c r="F179" s="13"/>
      <c r="G179" s="13"/>
    </row>
    <row r="180" spans="1:7" ht="24" customHeight="1">
      <c r="A180" s="16"/>
      <c r="B180" s="16"/>
      <c r="C180" s="13"/>
      <c r="D180" s="13"/>
      <c r="E180" s="13"/>
      <c r="F180" s="13"/>
      <c r="G180" s="13"/>
    </row>
    <row r="181" spans="1:7" ht="24" customHeight="1">
      <c r="A181" s="16"/>
      <c r="B181" s="16"/>
      <c r="C181" s="13"/>
      <c r="D181" s="13"/>
      <c r="E181" s="13"/>
      <c r="F181" s="13"/>
      <c r="G181" s="13"/>
    </row>
    <row r="182" spans="1:7" ht="24" customHeight="1">
      <c r="A182" s="16"/>
      <c r="B182" s="16"/>
      <c r="C182" s="13"/>
      <c r="D182" s="13"/>
      <c r="E182" s="13"/>
      <c r="F182" s="13"/>
      <c r="G182" s="13"/>
    </row>
    <row r="183" spans="1:7" ht="24" customHeight="1">
      <c r="A183" s="16"/>
      <c r="B183" s="16"/>
      <c r="C183" s="13"/>
      <c r="D183" s="13"/>
      <c r="E183" s="13"/>
      <c r="F183" s="13"/>
      <c r="G183" s="13"/>
    </row>
    <row r="184" spans="1:7" ht="24" customHeight="1">
      <c r="A184" s="16"/>
      <c r="B184" s="16"/>
      <c r="C184" s="13"/>
      <c r="D184" s="13"/>
      <c r="E184" s="13"/>
      <c r="F184" s="13"/>
      <c r="G184" s="13"/>
    </row>
    <row r="185" spans="1:7" ht="24" customHeight="1">
      <c r="A185" s="16"/>
      <c r="B185" s="16"/>
      <c r="C185" s="13"/>
      <c r="D185" s="13"/>
      <c r="E185" s="13"/>
      <c r="F185" s="13"/>
      <c r="G185" s="13"/>
    </row>
    <row r="186" spans="1:7" ht="24" customHeight="1">
      <c r="A186" s="16"/>
      <c r="B186" s="16"/>
      <c r="C186" s="13"/>
      <c r="D186" s="13"/>
      <c r="E186" s="13"/>
      <c r="F186" s="13"/>
      <c r="G186" s="13"/>
    </row>
    <row r="187" spans="1:7" ht="24" customHeight="1">
      <c r="A187" s="16"/>
      <c r="B187" s="16"/>
      <c r="C187" s="13"/>
      <c r="D187" s="13"/>
      <c r="E187" s="13"/>
      <c r="F187" s="13"/>
      <c r="G187" s="13"/>
    </row>
    <row r="188" spans="1:7" ht="24" customHeight="1">
      <c r="A188" s="16"/>
      <c r="B188" s="16"/>
      <c r="C188" s="13"/>
      <c r="D188" s="13"/>
      <c r="E188" s="13"/>
      <c r="F188" s="13"/>
      <c r="G188" s="13"/>
    </row>
    <row r="189" spans="1:7" ht="24" customHeight="1">
      <c r="A189" s="16"/>
      <c r="B189" s="16"/>
      <c r="C189" s="13"/>
      <c r="D189" s="13"/>
      <c r="E189" s="13"/>
      <c r="F189" s="13"/>
      <c r="G189" s="13"/>
    </row>
    <row r="190" spans="1:7" ht="24" customHeight="1">
      <c r="A190" s="16"/>
      <c r="B190" s="16"/>
      <c r="C190" s="13"/>
      <c r="D190" s="13"/>
      <c r="E190" s="13"/>
      <c r="F190" s="13"/>
      <c r="G190" s="13"/>
    </row>
    <row r="191" spans="1:7" ht="24" customHeight="1">
      <c r="A191" s="16"/>
      <c r="B191" s="16"/>
      <c r="C191" s="13"/>
      <c r="D191" s="13"/>
      <c r="E191" s="13"/>
      <c r="F191" s="13"/>
      <c r="G191" s="13"/>
    </row>
    <row r="192" spans="1:7" ht="24" customHeight="1">
      <c r="A192" s="16"/>
      <c r="B192" s="16"/>
      <c r="C192" s="13"/>
      <c r="D192" s="13"/>
      <c r="E192" s="13"/>
      <c r="F192" s="13"/>
      <c r="G192" s="13"/>
    </row>
    <row r="193" spans="1:7" ht="24" customHeight="1">
      <c r="A193" s="16"/>
      <c r="B193" s="16"/>
      <c r="C193" s="13"/>
      <c r="D193" s="13"/>
      <c r="E193" s="13"/>
      <c r="F193" s="13"/>
      <c r="G193" s="13"/>
    </row>
    <row r="194" spans="1:7" ht="24" customHeight="1">
      <c r="A194" s="16"/>
      <c r="B194" s="16"/>
      <c r="C194" s="13"/>
      <c r="D194" s="13"/>
      <c r="E194" s="13"/>
      <c r="F194" s="13"/>
      <c r="G194" s="13"/>
    </row>
    <row r="195" spans="1:7" ht="24" customHeight="1">
      <c r="A195" s="16"/>
      <c r="B195" s="16"/>
      <c r="C195" s="13"/>
      <c r="D195" s="13"/>
      <c r="E195" s="13"/>
      <c r="F195" s="13"/>
      <c r="G195" s="13"/>
    </row>
    <row r="196" spans="1:7" ht="24" customHeight="1">
      <c r="A196" s="16"/>
      <c r="B196" s="16"/>
      <c r="C196" s="13"/>
      <c r="D196" s="13"/>
      <c r="E196" s="13"/>
      <c r="F196" s="13"/>
      <c r="G196" s="13"/>
    </row>
    <row r="197" spans="1:7" ht="24" customHeight="1">
      <c r="A197" s="16"/>
      <c r="B197" s="16"/>
      <c r="C197" s="13"/>
      <c r="D197" s="13"/>
      <c r="E197" s="13"/>
      <c r="F197" s="13"/>
      <c r="G197" s="13"/>
    </row>
    <row r="198" spans="1:7" ht="24" customHeight="1">
      <c r="A198" s="16"/>
      <c r="B198" s="16"/>
      <c r="C198" s="13"/>
      <c r="D198" s="13"/>
      <c r="E198" s="13"/>
      <c r="F198" s="13"/>
      <c r="G198" s="13"/>
    </row>
    <row r="199" spans="1:7" ht="24" customHeight="1">
      <c r="A199" s="16"/>
      <c r="B199" s="16"/>
      <c r="C199" s="13"/>
      <c r="D199" s="13"/>
      <c r="E199" s="13"/>
      <c r="F199" s="13"/>
      <c r="G199" s="13"/>
    </row>
    <row r="200" spans="1:7" ht="24" customHeight="1">
      <c r="A200" s="16"/>
      <c r="B200" s="16"/>
      <c r="C200" s="13"/>
      <c r="D200" s="13"/>
      <c r="E200" s="13"/>
      <c r="F200" s="13"/>
      <c r="G200" s="13"/>
    </row>
    <row r="201" spans="1:7" ht="24" customHeight="1">
      <c r="A201" s="16"/>
      <c r="B201" s="16"/>
      <c r="C201" s="13"/>
      <c r="D201" s="13"/>
      <c r="E201" s="13"/>
      <c r="F201" s="13"/>
      <c r="G201" s="13"/>
    </row>
    <row r="202" spans="1:7" ht="24" customHeight="1">
      <c r="A202" s="16"/>
      <c r="B202" s="16"/>
      <c r="C202" s="13"/>
      <c r="D202" s="13"/>
      <c r="E202" s="13"/>
      <c r="F202" s="13"/>
      <c r="G202" s="13"/>
    </row>
    <row r="203" spans="1:7" ht="24" customHeight="1">
      <c r="A203" s="16"/>
      <c r="B203" s="16"/>
      <c r="C203" s="13"/>
      <c r="D203" s="13"/>
      <c r="E203" s="13"/>
      <c r="F203" s="13"/>
      <c r="G203" s="13"/>
    </row>
    <row r="204" spans="1:7" ht="24" customHeight="1">
      <c r="A204" s="16"/>
      <c r="B204" s="16"/>
      <c r="C204" s="13"/>
      <c r="D204" s="13"/>
      <c r="E204" s="13"/>
      <c r="F204" s="13"/>
      <c r="G204" s="13"/>
    </row>
    <row r="205" spans="1:7" ht="24" customHeight="1">
      <c r="A205" s="16"/>
      <c r="B205" s="16"/>
      <c r="C205" s="13"/>
      <c r="D205" s="13"/>
      <c r="E205" s="13"/>
      <c r="F205" s="13"/>
      <c r="G205" s="13"/>
    </row>
    <row r="206" spans="1:7" ht="24" customHeight="1">
      <c r="A206" s="16"/>
      <c r="B206" s="16"/>
      <c r="C206" s="13"/>
      <c r="D206" s="13"/>
      <c r="E206" s="13"/>
      <c r="F206" s="13"/>
      <c r="G206" s="13"/>
    </row>
    <row r="207" spans="1:7" ht="24" customHeight="1">
      <c r="A207" s="16"/>
      <c r="B207" s="16"/>
      <c r="C207" s="13"/>
      <c r="D207" s="13"/>
      <c r="E207" s="13"/>
      <c r="F207" s="13"/>
      <c r="G207" s="13"/>
    </row>
    <row r="208" spans="1:7" ht="24" customHeight="1">
      <c r="A208" s="16"/>
      <c r="B208" s="16"/>
      <c r="C208" s="13"/>
      <c r="D208" s="13"/>
      <c r="E208" s="13"/>
      <c r="F208" s="13"/>
      <c r="G208" s="13"/>
    </row>
    <row r="209" spans="1:7" ht="24" customHeight="1">
      <c r="A209" s="16"/>
      <c r="B209" s="16"/>
      <c r="C209" s="13"/>
      <c r="D209" s="13"/>
      <c r="E209" s="13"/>
      <c r="F209" s="13"/>
      <c r="G209" s="13"/>
    </row>
    <row r="210" spans="1:7" ht="24" customHeight="1">
      <c r="A210" s="16"/>
      <c r="B210" s="16"/>
      <c r="C210" s="13"/>
      <c r="D210" s="13"/>
      <c r="E210" s="13"/>
      <c r="F210" s="13"/>
      <c r="G210" s="13"/>
    </row>
    <row r="211" spans="1:7" ht="24" customHeight="1">
      <c r="A211" s="16"/>
      <c r="B211" s="16"/>
      <c r="C211" s="13"/>
      <c r="D211" s="13"/>
      <c r="E211" s="13"/>
      <c r="F211" s="13"/>
      <c r="G211" s="13"/>
    </row>
    <row r="212" spans="1:7" ht="24" customHeight="1">
      <c r="A212" s="16"/>
      <c r="B212" s="16"/>
      <c r="C212" s="13"/>
      <c r="D212" s="13"/>
      <c r="E212" s="13"/>
      <c r="F212" s="13"/>
      <c r="G212" s="13"/>
    </row>
    <row r="213" spans="1:7" ht="24" customHeight="1">
      <c r="A213" s="16"/>
      <c r="B213" s="16"/>
      <c r="C213" s="13"/>
      <c r="D213" s="13"/>
      <c r="E213" s="13"/>
      <c r="F213" s="13"/>
      <c r="G213" s="13"/>
    </row>
    <row r="214" spans="1:7" ht="24" customHeight="1">
      <c r="A214" s="16"/>
      <c r="B214" s="16"/>
      <c r="C214" s="13"/>
      <c r="D214" s="13"/>
      <c r="E214" s="13"/>
      <c r="F214" s="13"/>
      <c r="G214" s="13"/>
    </row>
    <row r="215" spans="1:7" ht="24" customHeight="1">
      <c r="A215" s="16"/>
      <c r="B215" s="16"/>
      <c r="C215" s="13"/>
      <c r="D215" s="13"/>
      <c r="E215" s="13"/>
      <c r="F215" s="13"/>
      <c r="G215" s="13"/>
    </row>
    <row r="216" spans="1:7" ht="24" customHeight="1">
      <c r="A216" s="16"/>
      <c r="B216" s="16"/>
      <c r="C216" s="13"/>
      <c r="D216" s="13"/>
      <c r="E216" s="13"/>
      <c r="F216" s="13"/>
      <c r="G216" s="13"/>
    </row>
    <row r="217" spans="1:7" ht="24" customHeight="1">
      <c r="A217" s="16"/>
      <c r="B217" s="16"/>
      <c r="C217" s="13"/>
      <c r="D217" s="13"/>
      <c r="E217" s="13"/>
      <c r="F217" s="13"/>
      <c r="G217" s="13"/>
    </row>
    <row r="218" spans="1:7" ht="24" customHeight="1">
      <c r="A218" s="16"/>
      <c r="B218" s="16"/>
      <c r="C218" s="13"/>
      <c r="D218" s="13"/>
      <c r="E218" s="13"/>
      <c r="F218" s="13"/>
      <c r="G218" s="13"/>
    </row>
    <row r="219" spans="1:7" ht="24" customHeight="1">
      <c r="A219" s="16"/>
      <c r="B219" s="16"/>
      <c r="C219" s="13"/>
      <c r="D219" s="13"/>
      <c r="E219" s="13"/>
      <c r="F219" s="13"/>
      <c r="G219" s="13"/>
    </row>
    <row r="220" spans="1:7" ht="24" customHeight="1">
      <c r="A220" s="16"/>
      <c r="B220" s="16"/>
      <c r="C220" s="13"/>
      <c r="D220" s="13"/>
      <c r="E220" s="13"/>
      <c r="F220" s="13"/>
      <c r="G220" s="13"/>
    </row>
    <row r="221" spans="1:7" ht="24" customHeight="1">
      <c r="A221" s="16"/>
      <c r="B221" s="16"/>
      <c r="C221" s="13"/>
      <c r="D221" s="13"/>
      <c r="E221" s="13"/>
      <c r="F221" s="13"/>
      <c r="G221" s="13"/>
    </row>
    <row r="222" spans="1:7" ht="24" customHeight="1">
      <c r="A222" s="16"/>
      <c r="B222" s="16"/>
      <c r="C222" s="13"/>
      <c r="D222" s="13"/>
      <c r="E222" s="13"/>
      <c r="F222" s="13"/>
      <c r="G222" s="13"/>
    </row>
    <row r="223" spans="1:7" ht="24" customHeight="1">
      <c r="A223" s="16"/>
      <c r="B223" s="16"/>
      <c r="C223" s="13"/>
      <c r="D223" s="13"/>
      <c r="E223" s="13"/>
      <c r="F223" s="13"/>
      <c r="G223" s="13"/>
    </row>
    <row r="224" spans="1:7" ht="24" customHeight="1">
      <c r="A224" s="16"/>
      <c r="B224" s="16"/>
      <c r="C224" s="13"/>
      <c r="D224" s="13"/>
      <c r="E224" s="13"/>
      <c r="F224" s="13"/>
      <c r="G224" s="13"/>
    </row>
    <row r="225" spans="1:7" ht="24" customHeight="1">
      <c r="A225" s="16"/>
      <c r="B225" s="16"/>
      <c r="C225" s="13"/>
      <c r="D225" s="13"/>
      <c r="E225" s="13"/>
      <c r="F225" s="13"/>
      <c r="G225" s="13"/>
    </row>
    <row r="226" spans="1:7" ht="24" customHeight="1">
      <c r="A226" s="16"/>
      <c r="B226" s="16"/>
      <c r="C226" s="13"/>
      <c r="D226" s="13"/>
      <c r="E226" s="13"/>
      <c r="F226" s="13"/>
      <c r="G226" s="13"/>
    </row>
    <row r="227" spans="1:7" ht="24" customHeight="1">
      <c r="A227" s="16"/>
      <c r="B227" s="16"/>
      <c r="C227" s="13"/>
      <c r="D227" s="13"/>
      <c r="E227" s="13"/>
      <c r="F227" s="13"/>
      <c r="G227" s="13"/>
    </row>
    <row r="228" spans="1:7" ht="24" customHeight="1">
      <c r="A228" s="16"/>
      <c r="B228" s="16"/>
      <c r="C228" s="13"/>
      <c r="D228" s="13"/>
      <c r="E228" s="13"/>
      <c r="F228" s="13"/>
      <c r="G228" s="13"/>
    </row>
    <row r="229" spans="1:7" ht="24" customHeight="1">
      <c r="A229" s="16"/>
      <c r="B229" s="16"/>
      <c r="C229" s="13"/>
      <c r="D229" s="13"/>
      <c r="E229" s="13"/>
      <c r="F229" s="13"/>
      <c r="G229" s="13"/>
    </row>
    <row r="230" spans="1:7" ht="24" customHeight="1">
      <c r="A230" s="16"/>
      <c r="B230" s="16"/>
      <c r="C230" s="13"/>
      <c r="D230" s="13"/>
      <c r="E230" s="13"/>
      <c r="F230" s="13"/>
      <c r="G230" s="13"/>
    </row>
    <row r="231" spans="1:7" ht="24" customHeight="1">
      <c r="A231" s="16"/>
      <c r="B231" s="16"/>
      <c r="C231" s="13"/>
      <c r="D231" s="13"/>
      <c r="E231" s="13"/>
      <c r="F231" s="13"/>
      <c r="G231" s="13"/>
    </row>
    <row r="232" spans="1:7" ht="24" customHeight="1">
      <c r="A232" s="16"/>
      <c r="B232" s="16"/>
      <c r="C232" s="13"/>
      <c r="D232" s="13"/>
      <c r="E232" s="13"/>
      <c r="F232" s="13"/>
      <c r="G232" s="13"/>
    </row>
    <row r="233" spans="1:7" ht="24" customHeight="1">
      <c r="A233" s="16"/>
      <c r="B233" s="16"/>
      <c r="C233" s="13"/>
      <c r="D233" s="13"/>
      <c r="E233" s="13"/>
      <c r="F233" s="13"/>
      <c r="G233" s="13"/>
    </row>
    <row r="234" spans="1:7" ht="24" customHeight="1">
      <c r="A234" s="16"/>
      <c r="B234" s="16"/>
      <c r="C234" s="13"/>
      <c r="D234" s="13"/>
      <c r="E234" s="13"/>
      <c r="F234" s="13"/>
      <c r="G234" s="13"/>
    </row>
    <row r="235" spans="1:7" ht="24" customHeight="1">
      <c r="A235" s="16"/>
      <c r="B235" s="16"/>
      <c r="C235" s="13"/>
      <c r="D235" s="13"/>
      <c r="E235" s="13"/>
      <c r="F235" s="13"/>
      <c r="G235" s="13"/>
    </row>
    <row r="236" spans="1:7" ht="24" customHeight="1">
      <c r="A236" s="16"/>
      <c r="B236" s="16"/>
      <c r="C236" s="13"/>
      <c r="D236" s="13"/>
      <c r="E236" s="13"/>
      <c r="F236" s="13"/>
      <c r="G236" s="13"/>
    </row>
    <row r="237" spans="1:7" ht="24" customHeight="1">
      <c r="A237" s="16"/>
      <c r="B237" s="16"/>
      <c r="C237" s="13"/>
      <c r="D237" s="13"/>
      <c r="E237" s="13"/>
      <c r="F237" s="13"/>
      <c r="G237" s="13"/>
    </row>
    <row r="238" spans="1:7" ht="24" customHeight="1">
      <c r="A238" s="16"/>
      <c r="B238" s="16"/>
      <c r="C238" s="13"/>
      <c r="D238" s="13"/>
      <c r="E238" s="13"/>
      <c r="F238" s="13"/>
      <c r="G238" s="13"/>
    </row>
    <row r="239" spans="1:7" ht="24" customHeight="1">
      <c r="A239" s="16"/>
      <c r="B239" s="16"/>
      <c r="C239" s="13"/>
      <c r="D239" s="13"/>
      <c r="E239" s="13"/>
      <c r="F239" s="13"/>
      <c r="G239" s="13"/>
    </row>
    <row r="240" spans="1:7" ht="24" customHeight="1">
      <c r="A240" s="16"/>
      <c r="B240" s="16"/>
      <c r="C240" s="13"/>
      <c r="D240" s="13"/>
      <c r="E240" s="13"/>
      <c r="F240" s="13"/>
      <c r="G240" s="13"/>
    </row>
    <row r="241" spans="1:7" ht="24" customHeight="1">
      <c r="A241" s="16"/>
      <c r="B241" s="16"/>
      <c r="C241" s="13"/>
      <c r="D241" s="13"/>
      <c r="E241" s="13"/>
      <c r="F241" s="13"/>
      <c r="G241" s="13"/>
    </row>
    <row r="242" spans="1:7" ht="24" customHeight="1">
      <c r="A242" s="16"/>
      <c r="B242" s="16"/>
      <c r="C242" s="13"/>
      <c r="D242" s="13"/>
      <c r="E242" s="13"/>
      <c r="F242" s="13"/>
      <c r="G242" s="13"/>
    </row>
    <row r="243" spans="1:7" ht="24" customHeight="1">
      <c r="A243" s="16"/>
      <c r="B243" s="16"/>
      <c r="C243" s="13"/>
      <c r="D243" s="13"/>
      <c r="E243" s="13"/>
      <c r="F243" s="13"/>
      <c r="G243" s="13"/>
    </row>
    <row r="244" spans="1:7" ht="24" customHeight="1">
      <c r="A244" s="16"/>
      <c r="B244" s="16"/>
      <c r="C244" s="13"/>
      <c r="D244" s="13"/>
      <c r="E244" s="13"/>
      <c r="F244" s="13"/>
      <c r="G244" s="13"/>
    </row>
    <row r="245" spans="1:7" ht="24" customHeight="1">
      <c r="A245" s="16"/>
      <c r="B245" s="16"/>
      <c r="C245" s="13"/>
      <c r="D245" s="13"/>
      <c r="E245" s="13"/>
      <c r="F245" s="13"/>
      <c r="G245" s="13"/>
    </row>
    <row r="246" spans="1:7" ht="24" customHeight="1">
      <c r="A246" s="16"/>
      <c r="B246" s="16"/>
      <c r="C246" s="13"/>
      <c r="D246" s="13"/>
      <c r="E246" s="13"/>
      <c r="F246" s="13"/>
      <c r="G246" s="13"/>
    </row>
    <row r="247" spans="1:7" ht="24" customHeight="1">
      <c r="A247" s="16"/>
      <c r="B247" s="16"/>
      <c r="C247" s="13"/>
      <c r="D247" s="13"/>
      <c r="E247" s="13"/>
      <c r="F247" s="13"/>
      <c r="G247" s="13"/>
    </row>
    <row r="248" spans="1:7" ht="24" customHeight="1">
      <c r="A248" s="16"/>
      <c r="B248" s="16"/>
      <c r="C248" s="13"/>
      <c r="D248" s="13"/>
      <c r="E248" s="13"/>
      <c r="F248" s="13"/>
      <c r="G248" s="13"/>
    </row>
    <row r="249" spans="1:7" ht="24" customHeight="1">
      <c r="A249" s="16"/>
      <c r="B249" s="16"/>
      <c r="C249" s="13"/>
      <c r="D249" s="13"/>
      <c r="E249" s="13"/>
      <c r="F249" s="13"/>
      <c r="G249" s="13"/>
    </row>
    <row r="250" spans="1:7" ht="24" customHeight="1">
      <c r="A250" s="16"/>
      <c r="B250" s="16"/>
      <c r="C250" s="13"/>
      <c r="D250" s="13"/>
      <c r="E250" s="13"/>
      <c r="F250" s="13"/>
      <c r="G250" s="13"/>
    </row>
    <row r="251" spans="1:7" ht="24" customHeight="1">
      <c r="A251" s="16"/>
      <c r="B251" s="16"/>
      <c r="C251" s="13"/>
      <c r="D251" s="13"/>
      <c r="E251" s="13"/>
      <c r="F251" s="13"/>
      <c r="G251" s="13"/>
    </row>
    <row r="252" spans="1:7" ht="24" customHeight="1">
      <c r="A252" s="16"/>
      <c r="B252" s="16"/>
      <c r="C252" s="13"/>
      <c r="D252" s="13"/>
      <c r="E252" s="13"/>
      <c r="F252" s="13"/>
      <c r="G252" s="13"/>
    </row>
    <row r="253" spans="1:7" ht="24" customHeight="1">
      <c r="A253" s="16"/>
      <c r="B253" s="16"/>
      <c r="C253" s="13"/>
      <c r="D253" s="13"/>
      <c r="E253" s="13"/>
      <c r="F253" s="13"/>
      <c r="G253" s="13"/>
    </row>
    <row r="254" spans="1:7" ht="24" customHeight="1">
      <c r="A254" s="16"/>
      <c r="B254" s="16"/>
      <c r="C254" s="13"/>
      <c r="D254" s="13"/>
      <c r="E254" s="13"/>
      <c r="F254" s="13"/>
      <c r="G254" s="13"/>
    </row>
    <row r="255" spans="1:7" ht="24" customHeight="1">
      <c r="A255" s="16"/>
      <c r="B255" s="16"/>
      <c r="C255" s="13"/>
      <c r="D255" s="13"/>
      <c r="E255" s="13"/>
      <c r="F255" s="13"/>
      <c r="G255" s="13"/>
    </row>
    <row r="256" spans="1:7" ht="24" customHeight="1">
      <c r="A256" s="16"/>
      <c r="B256" s="16"/>
      <c r="C256" s="13"/>
      <c r="D256" s="13"/>
      <c r="E256" s="13"/>
      <c r="F256" s="13"/>
      <c r="G256" s="13"/>
    </row>
    <row r="257" spans="1:7" ht="24" customHeight="1">
      <c r="A257" s="16"/>
      <c r="B257" s="16"/>
      <c r="C257" s="13"/>
      <c r="D257" s="13"/>
      <c r="E257" s="13"/>
      <c r="F257" s="13"/>
      <c r="G257" s="13"/>
    </row>
    <row r="258" spans="1:7" ht="24" customHeight="1">
      <c r="A258" s="16"/>
      <c r="B258" s="16"/>
      <c r="C258" s="13"/>
      <c r="D258" s="13"/>
      <c r="E258" s="13"/>
      <c r="F258" s="13"/>
      <c r="G258" s="13"/>
    </row>
    <row r="259" spans="1:7" ht="24" customHeight="1">
      <c r="A259" s="16"/>
      <c r="B259" s="16"/>
      <c r="C259" s="13"/>
      <c r="D259" s="13"/>
      <c r="E259" s="13"/>
      <c r="F259" s="13"/>
      <c r="G259" s="13"/>
    </row>
    <row r="260" spans="1:7" ht="24" customHeight="1">
      <c r="A260" s="16"/>
      <c r="B260" s="16"/>
      <c r="C260" s="13"/>
      <c r="D260" s="13"/>
      <c r="E260" s="13"/>
      <c r="F260" s="13"/>
      <c r="G260" s="13"/>
    </row>
    <row r="261" spans="1:7" ht="24" customHeight="1">
      <c r="A261" s="16"/>
      <c r="B261" s="16"/>
      <c r="C261" s="13"/>
      <c r="D261" s="13"/>
      <c r="E261" s="13"/>
      <c r="F261" s="13"/>
      <c r="G261" s="13"/>
    </row>
    <row r="262" spans="1:7" ht="24" customHeight="1">
      <c r="A262" s="16"/>
      <c r="B262" s="16"/>
      <c r="C262" s="13"/>
      <c r="D262" s="13"/>
      <c r="E262" s="13"/>
      <c r="F262" s="13"/>
      <c r="G262" s="13"/>
    </row>
    <row r="263" spans="1:7" ht="24" customHeight="1">
      <c r="A263" s="16"/>
      <c r="B263" s="16"/>
      <c r="C263" s="13"/>
      <c r="D263" s="13"/>
      <c r="E263" s="13"/>
      <c r="F263" s="13"/>
      <c r="G263" s="13"/>
    </row>
    <row r="264" spans="1:7" ht="24" customHeight="1">
      <c r="A264" s="16"/>
      <c r="B264" s="16"/>
      <c r="C264" s="13"/>
      <c r="D264" s="13"/>
      <c r="E264" s="13"/>
      <c r="F264" s="13"/>
      <c r="G264" s="13"/>
    </row>
    <row r="265" spans="1:7" ht="24" customHeight="1">
      <c r="A265" s="16"/>
      <c r="B265" s="16"/>
      <c r="C265" s="13"/>
      <c r="D265" s="13"/>
      <c r="E265" s="13"/>
      <c r="F265" s="13"/>
      <c r="G265" s="13"/>
    </row>
    <row r="266" spans="1:7" ht="24" customHeight="1">
      <c r="A266" s="16"/>
      <c r="B266" s="16"/>
      <c r="C266" s="13"/>
      <c r="D266" s="13"/>
      <c r="E266" s="13"/>
      <c r="F266" s="13"/>
      <c r="G266" s="13"/>
    </row>
    <row r="267" spans="1:7" ht="24" customHeight="1">
      <c r="A267" s="16"/>
      <c r="B267" s="16"/>
      <c r="C267" s="13"/>
      <c r="D267" s="13"/>
      <c r="E267" s="13"/>
      <c r="F267" s="13"/>
      <c r="G267" s="13"/>
    </row>
    <row r="268" spans="1:7" ht="24" customHeight="1">
      <c r="A268" s="16"/>
      <c r="B268" s="16"/>
      <c r="C268" s="13"/>
      <c r="D268" s="13"/>
      <c r="E268" s="13"/>
      <c r="F268" s="13"/>
      <c r="G268" s="13"/>
    </row>
    <row r="269" spans="1:7" ht="24" customHeight="1">
      <c r="A269" s="16"/>
      <c r="B269" s="16"/>
      <c r="C269" s="13"/>
      <c r="D269" s="13"/>
      <c r="E269" s="13"/>
      <c r="F269" s="13"/>
      <c r="G269" s="13"/>
    </row>
    <row r="270" spans="1:7" ht="24" customHeight="1">
      <c r="A270" s="16"/>
      <c r="B270" s="16"/>
      <c r="C270" s="13"/>
      <c r="D270" s="13"/>
      <c r="E270" s="13"/>
      <c r="F270" s="13"/>
      <c r="G270" s="13"/>
    </row>
    <row r="271" spans="1:7" ht="24" customHeight="1">
      <c r="A271" s="16"/>
      <c r="B271" s="16"/>
      <c r="C271" s="13"/>
      <c r="D271" s="13"/>
      <c r="E271" s="13"/>
      <c r="F271" s="13"/>
      <c r="G271" s="13"/>
    </row>
    <row r="272" spans="1:7" ht="24" customHeight="1">
      <c r="A272" s="16"/>
      <c r="B272" s="16"/>
      <c r="C272" s="13"/>
      <c r="D272" s="13"/>
      <c r="E272" s="13"/>
      <c r="F272" s="13"/>
      <c r="G272" s="13"/>
    </row>
    <row r="273" spans="1:7" ht="24" customHeight="1">
      <c r="A273" s="16"/>
      <c r="B273" s="16"/>
      <c r="C273" s="13"/>
      <c r="D273" s="13"/>
      <c r="E273" s="13"/>
      <c r="F273" s="13"/>
      <c r="G273" s="13"/>
    </row>
    <row r="274" spans="1:7" ht="24" customHeight="1">
      <c r="A274" s="16"/>
      <c r="B274" s="16"/>
      <c r="C274" s="13"/>
      <c r="D274" s="13"/>
      <c r="E274" s="13"/>
      <c r="F274" s="13"/>
      <c r="G274" s="13"/>
    </row>
    <row r="275" spans="1:7" ht="24" customHeight="1">
      <c r="A275" s="16"/>
      <c r="B275" s="16"/>
      <c r="C275" s="13"/>
      <c r="D275" s="13"/>
      <c r="E275" s="13"/>
      <c r="F275" s="13"/>
      <c r="G275" s="13"/>
    </row>
    <row r="276" spans="1:7" ht="24" customHeight="1">
      <c r="A276" s="16"/>
      <c r="B276" s="16"/>
      <c r="C276" s="13"/>
      <c r="D276" s="13"/>
      <c r="E276" s="13"/>
      <c r="F276" s="13"/>
      <c r="G276" s="13"/>
    </row>
    <row r="277" spans="1:7" ht="24" customHeight="1">
      <c r="A277" s="16"/>
      <c r="B277" s="16"/>
      <c r="C277" s="13"/>
      <c r="D277" s="13"/>
      <c r="E277" s="13"/>
      <c r="F277" s="13"/>
      <c r="G277" s="13"/>
    </row>
    <row r="278" spans="1:7" ht="24" customHeight="1">
      <c r="A278" s="16"/>
      <c r="B278" s="16"/>
      <c r="C278" s="13"/>
      <c r="D278" s="13"/>
      <c r="E278" s="13"/>
      <c r="F278" s="13"/>
      <c r="G278" s="13"/>
    </row>
    <row r="279" spans="1:7" ht="24" customHeight="1">
      <c r="A279" s="16"/>
      <c r="B279" s="16"/>
      <c r="C279" s="13"/>
      <c r="D279" s="13"/>
      <c r="E279" s="13"/>
      <c r="F279" s="13"/>
      <c r="G279" s="13"/>
    </row>
    <row r="280" spans="1:7" ht="24" customHeight="1">
      <c r="A280" s="16"/>
      <c r="B280" s="16"/>
      <c r="C280" s="13"/>
      <c r="D280" s="13"/>
      <c r="E280" s="13"/>
      <c r="F280" s="13"/>
      <c r="G280" s="13"/>
    </row>
    <row r="281" spans="1:7" ht="24" customHeight="1">
      <c r="A281" s="16"/>
      <c r="B281" s="16"/>
      <c r="C281" s="13"/>
      <c r="D281" s="13"/>
      <c r="E281" s="13"/>
      <c r="F281" s="13"/>
      <c r="G281" s="13"/>
    </row>
    <row r="282" spans="1:7" ht="24" customHeight="1">
      <c r="A282" s="16"/>
      <c r="B282" s="16"/>
      <c r="C282" s="13"/>
      <c r="D282" s="13"/>
      <c r="E282" s="13"/>
      <c r="F282" s="13"/>
      <c r="G282" s="13"/>
    </row>
    <row r="283" spans="1:7" ht="24" customHeight="1">
      <c r="A283" s="16"/>
      <c r="B283" s="16"/>
      <c r="C283" s="13"/>
      <c r="D283" s="13"/>
      <c r="E283" s="13"/>
      <c r="F283" s="13"/>
      <c r="G283" s="13"/>
    </row>
    <row r="284" spans="1:7" ht="24" customHeight="1">
      <c r="A284" s="16"/>
      <c r="B284" s="16"/>
      <c r="C284" s="13"/>
      <c r="D284" s="13"/>
      <c r="E284" s="13"/>
      <c r="F284" s="13"/>
      <c r="G284" s="13"/>
    </row>
    <row r="285" spans="1:7" ht="24" customHeight="1">
      <c r="A285" s="16"/>
      <c r="B285" s="16"/>
      <c r="C285" s="13"/>
      <c r="D285" s="13"/>
      <c r="E285" s="13"/>
      <c r="F285" s="13"/>
      <c r="G285" s="13"/>
    </row>
    <row r="286" spans="1:7" ht="24" customHeight="1">
      <c r="A286" s="16"/>
      <c r="B286" s="16"/>
      <c r="C286" s="13"/>
      <c r="D286" s="13"/>
      <c r="E286" s="13"/>
      <c r="F286" s="13"/>
      <c r="G286" s="13"/>
    </row>
    <row r="287" spans="1:7" ht="24" customHeight="1">
      <c r="A287" s="16"/>
      <c r="B287" s="16"/>
      <c r="C287" s="13"/>
      <c r="D287" s="13"/>
      <c r="E287" s="13"/>
      <c r="F287" s="13"/>
      <c r="G287" s="13"/>
    </row>
    <row r="288" spans="1:7" ht="24" customHeight="1">
      <c r="A288" s="16"/>
      <c r="B288" s="16"/>
      <c r="C288" s="13"/>
      <c r="D288" s="13"/>
      <c r="E288" s="13"/>
      <c r="F288" s="13"/>
      <c r="G288" s="13"/>
    </row>
    <row r="289" spans="1:7" ht="24" customHeight="1">
      <c r="A289" s="16"/>
      <c r="B289" s="16"/>
      <c r="C289" s="13"/>
      <c r="D289" s="13"/>
      <c r="E289" s="13"/>
      <c r="F289" s="13"/>
      <c r="G289" s="13"/>
    </row>
    <row r="290" spans="1:7" ht="24" customHeight="1">
      <c r="A290" s="16"/>
      <c r="B290" s="16"/>
      <c r="C290" s="13"/>
      <c r="D290" s="13"/>
      <c r="E290" s="13"/>
      <c r="F290" s="13"/>
      <c r="G290" s="13"/>
    </row>
    <row r="291" spans="1:7" ht="24" customHeight="1">
      <c r="A291" s="16"/>
      <c r="B291" s="16"/>
      <c r="C291" s="13"/>
      <c r="D291" s="13"/>
      <c r="E291" s="13"/>
      <c r="F291" s="13"/>
      <c r="G291" s="13"/>
    </row>
    <row r="292" spans="1:7" ht="24" customHeight="1">
      <c r="A292" s="16"/>
      <c r="B292" s="16"/>
      <c r="C292" s="13"/>
      <c r="D292" s="13"/>
      <c r="E292" s="13"/>
      <c r="F292" s="13"/>
      <c r="G292" s="13"/>
    </row>
    <row r="293" spans="1:7" ht="24" customHeight="1">
      <c r="A293" s="16"/>
      <c r="B293" s="16"/>
      <c r="C293" s="13"/>
      <c r="D293" s="13"/>
      <c r="E293" s="13"/>
      <c r="F293" s="13"/>
      <c r="G293" s="13"/>
    </row>
    <row r="294" spans="1:7" ht="24" customHeight="1">
      <c r="A294" s="16"/>
      <c r="B294" s="16"/>
      <c r="C294" s="13"/>
      <c r="D294" s="13"/>
      <c r="E294" s="13"/>
      <c r="F294" s="13"/>
      <c r="G294" s="13"/>
    </row>
    <row r="295" spans="1:7" ht="24" customHeight="1">
      <c r="A295" s="16"/>
      <c r="B295" s="16"/>
      <c r="C295" s="13"/>
      <c r="D295" s="13"/>
      <c r="E295" s="13"/>
      <c r="F295" s="13"/>
      <c r="G295" s="13"/>
    </row>
    <row r="296" spans="1:7" ht="24" customHeight="1">
      <c r="A296" s="16"/>
      <c r="B296" s="16"/>
      <c r="C296" s="13"/>
      <c r="D296" s="13"/>
      <c r="E296" s="13"/>
      <c r="F296" s="13"/>
      <c r="G296" s="13"/>
    </row>
    <row r="297" spans="1:7" ht="24" customHeight="1">
      <c r="A297" s="16"/>
      <c r="B297" s="16"/>
      <c r="C297" s="13"/>
      <c r="D297" s="13"/>
      <c r="E297" s="13"/>
      <c r="F297" s="13"/>
      <c r="G297" s="13"/>
    </row>
    <row r="298" spans="1:7" ht="24" customHeight="1">
      <c r="A298" s="16"/>
      <c r="B298" s="16"/>
      <c r="C298" s="13"/>
      <c r="D298" s="13"/>
      <c r="E298" s="13"/>
      <c r="F298" s="13"/>
      <c r="G298" s="13"/>
    </row>
    <row r="299" spans="1:7" ht="24" customHeight="1">
      <c r="A299" s="16"/>
      <c r="B299" s="16"/>
      <c r="C299" s="13"/>
      <c r="D299" s="13"/>
      <c r="E299" s="13"/>
      <c r="F299" s="13"/>
      <c r="G299" s="13"/>
    </row>
    <row r="300" spans="1:7" ht="24" customHeight="1">
      <c r="A300" s="16"/>
      <c r="B300" s="16"/>
      <c r="C300" s="13"/>
      <c r="D300" s="13"/>
      <c r="E300" s="13"/>
      <c r="F300" s="13"/>
      <c r="G300" s="13"/>
    </row>
    <row r="301" spans="1:7" ht="24" customHeight="1">
      <c r="A301" s="16"/>
      <c r="B301" s="16"/>
      <c r="C301" s="13"/>
      <c r="D301" s="13"/>
      <c r="E301" s="13"/>
      <c r="F301" s="13"/>
      <c r="G301" s="13"/>
    </row>
    <row r="302" spans="1:7" ht="24" customHeight="1">
      <c r="A302" s="16"/>
      <c r="B302" s="16"/>
      <c r="C302" s="13"/>
      <c r="D302" s="13"/>
      <c r="E302" s="13"/>
      <c r="F302" s="13"/>
      <c r="G302" s="13"/>
    </row>
    <row r="303" spans="1:7" ht="24" customHeight="1">
      <c r="A303" s="16"/>
      <c r="B303" s="16"/>
      <c r="C303" s="13"/>
      <c r="D303" s="13"/>
      <c r="E303" s="13"/>
      <c r="F303" s="13"/>
      <c r="G303" s="13"/>
    </row>
    <row r="304" spans="1:7" ht="24" customHeight="1">
      <c r="A304" s="16"/>
      <c r="B304" s="16"/>
      <c r="C304" s="13"/>
      <c r="D304" s="13"/>
      <c r="E304" s="13"/>
      <c r="F304" s="13"/>
      <c r="G304" s="13"/>
    </row>
    <row r="305" spans="1:7" ht="24" customHeight="1">
      <c r="A305" s="16"/>
      <c r="B305" s="16"/>
      <c r="C305" s="13"/>
      <c r="D305" s="13"/>
      <c r="E305" s="13"/>
      <c r="F305" s="13"/>
      <c r="G305" s="13"/>
    </row>
    <row r="306" spans="1:7" ht="24" customHeight="1">
      <c r="A306" s="16"/>
      <c r="B306" s="16"/>
      <c r="C306" s="13"/>
      <c r="D306" s="13"/>
      <c r="E306" s="13"/>
      <c r="F306" s="13"/>
      <c r="G306" s="13"/>
    </row>
    <row r="307" spans="1:7" ht="24" customHeight="1">
      <c r="A307" s="16"/>
      <c r="B307" s="16"/>
      <c r="C307" s="13"/>
      <c r="D307" s="13"/>
      <c r="E307" s="13"/>
      <c r="F307" s="13"/>
      <c r="G307" s="13"/>
    </row>
    <row r="308" spans="1:7" ht="24" customHeight="1">
      <c r="A308" s="16"/>
      <c r="B308" s="16"/>
      <c r="C308" s="13"/>
      <c r="D308" s="13"/>
      <c r="E308" s="13"/>
      <c r="F308" s="13"/>
      <c r="G308" s="13"/>
    </row>
    <row r="309" spans="1:7" ht="24" customHeight="1">
      <c r="A309" s="16"/>
      <c r="B309" s="16"/>
      <c r="C309" s="13"/>
      <c r="D309" s="13"/>
      <c r="E309" s="13"/>
      <c r="F309" s="13"/>
      <c r="G309" s="13"/>
    </row>
    <row r="310" spans="1:7" ht="24" customHeight="1">
      <c r="A310" s="16"/>
      <c r="B310" s="16"/>
      <c r="C310" s="13"/>
      <c r="D310" s="13"/>
      <c r="E310" s="13"/>
      <c r="F310" s="13"/>
      <c r="G310" s="13"/>
    </row>
    <row r="311" spans="1:7" ht="24" customHeight="1">
      <c r="A311" s="16"/>
      <c r="B311" s="16"/>
      <c r="C311" s="13"/>
      <c r="D311" s="13"/>
      <c r="E311" s="13"/>
      <c r="F311" s="13"/>
      <c r="G311" s="13"/>
    </row>
    <row r="312" spans="1:7" ht="24" customHeight="1">
      <c r="A312" s="16"/>
      <c r="B312" s="16"/>
      <c r="C312" s="13"/>
      <c r="D312" s="13"/>
      <c r="E312" s="13"/>
      <c r="F312" s="13"/>
      <c r="G312" s="13"/>
    </row>
  </sheetData>
  <mergeCells count="13">
    <mergeCell ref="A9:C9"/>
    <mergeCell ref="D9:G9"/>
    <mergeCell ref="A6:C6"/>
    <mergeCell ref="D6:G6"/>
    <mergeCell ref="A7:C7"/>
    <mergeCell ref="D7:G7"/>
    <mergeCell ref="A8:G8"/>
    <mergeCell ref="A2:G2"/>
    <mergeCell ref="A3:G3"/>
    <mergeCell ref="A4:C4"/>
    <mergeCell ref="D4:G4"/>
    <mergeCell ref="A5:C5"/>
    <mergeCell ref="D5:G5"/>
  </mergeCells>
  <dataValidations count="2">
    <dataValidation type="list" allowBlank="1" showErrorMessage="1" errorTitle="Select a listed value" error="Use the dropdown. Project lists can be adapted in Lists or H_Status_Codes." sqref="A13:A312" ns2:uid="{00000000-0002-0000-0600-000000000000}">
      <formula1>DocumentIDs</formula1>
    </dataValidation>
    <dataValidation type="list" allowBlank="1" showErrorMessage="1" errorTitle="Select a listed value" error="Use the dropdown. Project lists can be adapted in Lists or H_Status_Codes." sqref="D13:D312" ns2:uid="{00000000-0002-0000-0600-000001000000}">
      <formula1>LifecycleStages</formula1>
    </dataValidation>
  </dataValidation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  <extLst>
    <ext uri="{78C0D931-6437-407d-A8EE-F0AAD7539E65}">
      <x14:conditionalFormattings>
        <x14:conditionalFormatting>
          <x14:cfRule type="expression" priority="1" id="{00000000-000E-0000-0600-000001000000}">
            <xm:f>AND($A13&lt;&gt;"",COUNTIFS(D2_Documents!$C$13:$C$312,$A13,D2_Documents!$E$13:$E$312,$B13)=0)</xm:f>
            <x14:dxf>
              <font>
                <color rgb="FF9C2A18"/>
              </font>
              <fill>
                <patternFill patternType="solid">
                  <bgColor rgb="FFFCE4D6"/>
                </patternFill>
              </fill>
            </x14:dxf>
          </x14:cfRule>
          <xm:sqref>A13:B312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700-000000000000}">
  <sheetPr>
    <tabColor rgb="FF2B6E9F"/>
    <pageSetUpPr fitToPage="1"/>
  </sheetPr>
  <dimension ref="A1:D35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43" customWidth="1"/>
    <col min="2" max="2" width="90" customWidth="1"/>
    <col min="3" max="3" width="35" customWidth="1"/>
    <col min="4" max="4" width="37" customWidth="1"/>
  </cols>
  <sheetData>
    <row r="1" spans="1:4" ht="9.9499999999999993" customHeight="1">
      <c r="A1" s="1"/>
      <c r="B1" s="1"/>
      <c r="C1" s="1"/>
      <c r="D1" s="1"/>
    </row>
    <row r="2" spans="1:4" ht="27.95" customHeight="1">
      <c r="A2" s="27" t="s">
        <v>189</v>
      </c>
      <c r="B2" s="27"/>
      <c r="C2" s="27"/>
      <c r="D2" s="27"/>
    </row>
    <row r="3" spans="1:4" ht="20.100000000000001" customHeight="1">
      <c r="A3" s="28" t="s">
        <v>66</v>
      </c>
      <c r="B3" s="28"/>
      <c r="C3" s="28"/>
      <c r="D3" s="28"/>
    </row>
    <row r="4" spans="1:4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 t="str">
        <f>"Project ID: "&amp;IF('00_Project'!$B$7="","",'00_Project'!$B$7)</f>
        <v xml:space="preserve">Project ID: </v>
      </c>
      <c r="D4" s="29"/>
    </row>
    <row r="5" spans="1:4" ht="26.1" customHeight="1">
      <c r="A5" s="29" t="str">
        <f>"Client / Owner: "&amp;IF('00_Project'!$B$8="","",'00_Project'!$B$8)</f>
        <v xml:space="preserve">Client / Owner: </v>
      </c>
      <c r="B5" s="29"/>
      <c r="C5" s="29" t="str">
        <f>"Contractor: "&amp;IF('00_Project'!$B$9="","",'00_Project'!$B$9)</f>
        <v xml:space="preserve">Contractor: </v>
      </c>
      <c r="D5" s="29"/>
    </row>
    <row r="6" spans="1:4" ht="26.1" customHeight="1">
      <c r="A6" s="29" t="str">
        <f>"Project document ID: "&amp;IF('00_Project'!$B$11="","",'00_Project'!$B$11)</f>
        <v xml:space="preserve">Project document ID: </v>
      </c>
      <c r="B6" s="29"/>
      <c r="C6" s="29" t="str">
        <f>"Project revision: "&amp;IF('00_Project'!$B$12="","",'00_Project'!$B$12)</f>
        <v xml:space="preserve">Project revision: </v>
      </c>
      <c r="D6" s="29"/>
    </row>
    <row r="7" spans="1:4" ht="24" customHeight="1">
      <c r="A7" s="30" t="str">
        <f>"Document status: "&amp;IF('00_Project'!$B$13="","",'00_Project'!$B$13)</f>
        <v>Document status: Draft</v>
      </c>
      <c r="B7" s="30"/>
      <c r="C7" s="30" t="str">
        <f>"Issue date: "&amp;IF('00_Project'!$B$17="","",TEXT('00_Project'!$B$17,"dd-mmm-yyyy"))</f>
        <v xml:space="preserve">Issue date: </v>
      </c>
      <c r="D7" s="30"/>
    </row>
    <row r="8" spans="1:4" ht="44.1" customHeight="1">
      <c r="A8" s="25" t="s">
        <v>190</v>
      </c>
      <c r="B8" s="25"/>
      <c r="C8" s="25"/>
      <c r="D8" s="25"/>
    </row>
    <row r="9" spans="1:4" ht="26.1" customHeight="1">
      <c r="A9" s="29" t="str">
        <f>"Prepared by: "&amp;IF('00_Project'!$B$14="","",'00_Project'!$B$14)</f>
        <v xml:space="preserve">Prepared by: </v>
      </c>
      <c r="B9" s="29"/>
      <c r="C9" s="29" t="str">
        <f>"Reviewed by: "&amp;IF('00_Project'!$B$15="","",'00_Project'!$B$15)&amp;" / Approved by: "&amp;IF('00_Project'!$B$16="","",'00_Project'!$B$16)</f>
        <v xml:space="preserve">Reviewed by:  / Approved by: </v>
      </c>
      <c r="D9" s="29"/>
    </row>
    <row r="10" spans="1:4" ht="24" customHeight="1">
      <c r="A10" s="1"/>
      <c r="B10" s="1"/>
      <c r="C10" s="1"/>
      <c r="D10" s="1"/>
    </row>
    <row r="11" spans="1:4" ht="9" customHeight="1">
      <c r="A11" s="1"/>
      <c r="B11" s="1"/>
      <c r="C11" s="1"/>
      <c r="D11" s="1"/>
    </row>
    <row r="12" spans="1:4" ht="42" customHeight="1">
      <c r="A12" s="14" t="s">
        <v>191</v>
      </c>
      <c r="B12" s="14" t="s">
        <v>192</v>
      </c>
      <c r="C12" s="14" t="s">
        <v>193</v>
      </c>
      <c r="D12" s="14" t="s">
        <v>194</v>
      </c>
    </row>
    <row r="13" spans="1:4" ht="57.95" customHeight="1">
      <c r="A13" s="9" t="s">
        <v>195</v>
      </c>
      <c r="B13" s="9" t="s">
        <v>196</v>
      </c>
      <c r="C13" s="19" t="s">
        <v>138</v>
      </c>
      <c r="D13" s="13"/>
    </row>
    <row r="14" spans="1:4" ht="57.95" customHeight="1">
      <c r="A14" s="9" t="s">
        <v>197</v>
      </c>
      <c r="B14" s="9" t="s">
        <v>198</v>
      </c>
      <c r="C14" s="19" t="s">
        <v>140</v>
      </c>
      <c r="D14" s="13"/>
    </row>
    <row r="15" spans="1:4" ht="57.95" customHeight="1">
      <c r="A15" s="9" t="s">
        <v>199</v>
      </c>
      <c r="B15" s="9" t="s">
        <v>200</v>
      </c>
      <c r="C15" s="19" t="s">
        <v>201</v>
      </c>
      <c r="D15" s="13"/>
    </row>
    <row r="16" spans="1:4" ht="57.95" customHeight="1">
      <c r="A16" s="9" t="s">
        <v>202</v>
      </c>
      <c r="B16" s="9" t="s">
        <v>203</v>
      </c>
      <c r="C16" s="19" t="s">
        <v>204</v>
      </c>
      <c r="D16" s="13"/>
    </row>
    <row r="17" spans="1:4" ht="57.95" customHeight="1">
      <c r="A17" s="9" t="s">
        <v>205</v>
      </c>
      <c r="B17" s="9" t="s">
        <v>206</v>
      </c>
      <c r="C17" s="19" t="s">
        <v>207</v>
      </c>
      <c r="D17" s="13"/>
    </row>
    <row r="18" spans="1:4" ht="57.95" customHeight="1">
      <c r="A18" s="9" t="s">
        <v>208</v>
      </c>
      <c r="B18" s="9" t="s">
        <v>209</v>
      </c>
      <c r="C18" s="19" t="s">
        <v>210</v>
      </c>
      <c r="D18" s="13"/>
    </row>
    <row r="19" spans="1:4" ht="57.95" customHeight="1">
      <c r="A19" s="9" t="s">
        <v>211</v>
      </c>
      <c r="B19" s="9" t="s">
        <v>212</v>
      </c>
      <c r="C19" s="19" t="s">
        <v>213</v>
      </c>
      <c r="D19" s="13"/>
    </row>
    <row r="20" spans="1:4" ht="57.95" customHeight="1">
      <c r="A20" s="9" t="s">
        <v>214</v>
      </c>
      <c r="B20" s="9" t="s">
        <v>215</v>
      </c>
      <c r="C20" s="19" t="s">
        <v>216</v>
      </c>
      <c r="D20" s="13"/>
    </row>
    <row r="21" spans="1:4" ht="57.95" customHeight="1">
      <c r="A21" s="9" t="s">
        <v>217</v>
      </c>
      <c r="B21" s="9" t="s">
        <v>218</v>
      </c>
      <c r="C21" s="19" t="s">
        <v>219</v>
      </c>
      <c r="D21" s="13"/>
    </row>
    <row r="22" spans="1:4" ht="57.95" customHeight="1">
      <c r="A22" s="9" t="s">
        <v>220</v>
      </c>
      <c r="B22" s="9" t="s">
        <v>221</v>
      </c>
      <c r="C22" s="19" t="s">
        <v>222</v>
      </c>
      <c r="D22" s="13"/>
    </row>
    <row r="23" spans="1:4" ht="57.95" customHeight="1">
      <c r="A23" s="9" t="s">
        <v>223</v>
      </c>
      <c r="B23" s="9" t="s">
        <v>224</v>
      </c>
      <c r="C23" s="19" t="s">
        <v>225</v>
      </c>
      <c r="D23" s="13"/>
    </row>
    <row r="24" spans="1:4" ht="57.95" customHeight="1">
      <c r="A24" s="9" t="s">
        <v>226</v>
      </c>
      <c r="B24" s="9" t="s">
        <v>227</v>
      </c>
      <c r="C24" s="19" t="s">
        <v>228</v>
      </c>
      <c r="D24" s="13"/>
    </row>
    <row r="25" spans="1:4" ht="24" customHeight="1">
      <c r="A25" s="1"/>
      <c r="B25" s="1"/>
      <c r="C25" s="1"/>
      <c r="D25" s="1"/>
    </row>
    <row r="26" spans="1:4" ht="24" customHeight="1">
      <c r="A26" s="1"/>
      <c r="B26" s="1"/>
      <c r="C26" s="1"/>
      <c r="D26" s="1"/>
    </row>
    <row r="27" spans="1:4" ht="24" customHeight="1">
      <c r="A27" s="1"/>
      <c r="B27" s="1"/>
      <c r="C27" s="1"/>
      <c r="D27" s="1"/>
    </row>
    <row r="28" spans="1:4" ht="24" customHeight="1">
      <c r="A28" s="1"/>
      <c r="B28" s="1"/>
      <c r="C28" s="1"/>
      <c r="D28" s="1"/>
    </row>
    <row r="29" spans="1:4" ht="24" customHeight="1">
      <c r="A29" s="1"/>
      <c r="B29" s="1"/>
      <c r="C29" s="1"/>
      <c r="D29" s="1"/>
    </row>
    <row r="30" spans="1:4" ht="24" customHeight="1">
      <c r="A30" s="1"/>
      <c r="B30" s="1"/>
      <c r="C30" s="1"/>
      <c r="D30" s="1"/>
    </row>
    <row r="31" spans="1:4" ht="24" customHeight="1">
      <c r="A31" s="1"/>
      <c r="B31" s="1"/>
      <c r="C31" s="1"/>
      <c r="D31" s="1"/>
    </row>
    <row r="32" spans="1:4" ht="24" customHeight="1">
      <c r="A32" s="1"/>
      <c r="B32" s="1"/>
      <c r="C32" s="1"/>
      <c r="D32" s="1"/>
    </row>
    <row r="33" spans="1:4" ht="24" customHeight="1">
      <c r="A33" s="1"/>
      <c r="B33" s="1"/>
      <c r="C33" s="1"/>
      <c r="D33" s="1"/>
    </row>
    <row r="34" spans="1:4" ht="24" customHeight="1">
      <c r="A34" s="1"/>
      <c r="B34" s="1"/>
      <c r="C34" s="1"/>
      <c r="D34" s="1"/>
    </row>
    <row r="35" spans="1:4" ht="24" customHeight="1">
      <c r="A35" s="1"/>
      <c r="B35" s="1"/>
      <c r="C35" s="1"/>
      <c r="D35" s="1"/>
    </row>
  </sheetData>
  <mergeCells count="13">
    <mergeCell ref="A9:B9"/>
    <mergeCell ref="C9:D9"/>
    <mergeCell ref="A6:B6"/>
    <mergeCell ref="C6:D6"/>
    <mergeCell ref="A7:B7"/>
    <mergeCell ref="C7:D7"/>
    <mergeCell ref="A8:D8"/>
    <mergeCell ref="A2:D2"/>
    <mergeCell ref="A3:D3"/>
    <mergeCell ref="A4:B4"/>
    <mergeCell ref="C4:D4"/>
    <mergeCell ref="A5:B5"/>
    <mergeCell ref="C5:D5"/>
  </mergeCell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9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800-000000000000}">
  <sheetPr>
    <tabColor rgb="FF2B6E9F"/>
    <pageSetUpPr fitToPage="1"/>
  </sheetPr>
  <dimension ref="A1:I312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9" customWidth="1"/>
    <col min="2" max="2" width="30" customWidth="1"/>
    <col min="3" max="3" width="42" customWidth="1"/>
    <col min="4" max="4" width="28" customWidth="1"/>
    <col min="5" max="5" width="27" customWidth="1"/>
    <col min="6" max="6" width="35" customWidth="1"/>
    <col min="7" max="7" width="45" customWidth="1"/>
    <col min="8" max="8" width="38" customWidth="1"/>
    <col min="9" max="9" width="28" customWidth="1"/>
  </cols>
  <sheetData>
    <row r="1" spans="1:9" ht="9.9499999999999993" customHeight="1">
      <c r="A1" s="1"/>
      <c r="B1" s="1"/>
      <c r="C1" s="1"/>
      <c r="D1" s="1"/>
      <c r="E1" s="1"/>
      <c r="F1" s="1"/>
      <c r="G1" s="1"/>
      <c r="H1" s="1"/>
      <c r="I1" s="1"/>
    </row>
    <row r="2" spans="1:9" ht="27.95" customHeight="1">
      <c r="A2" s="27" t="s">
        <v>229</v>
      </c>
      <c r="B2" s="27"/>
      <c r="C2" s="27"/>
      <c r="D2" s="27"/>
      <c r="E2" s="27"/>
      <c r="F2" s="27"/>
      <c r="G2" s="27"/>
      <c r="H2" s="27"/>
      <c r="I2" s="27"/>
    </row>
    <row r="3" spans="1:9" ht="20.100000000000001" customHeight="1">
      <c r="A3" s="28" t="s">
        <v>66</v>
      </c>
      <c r="B3" s="28"/>
      <c r="C3" s="28"/>
      <c r="D3" s="28"/>
      <c r="E3" s="28"/>
      <c r="F3" s="28"/>
      <c r="G3" s="28"/>
      <c r="H3" s="28"/>
      <c r="I3" s="28"/>
    </row>
    <row r="4" spans="1:9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/>
      <c r="D4" s="29"/>
      <c r="E4" s="29" t="str">
        <f>"Project ID: "&amp;IF('00_Project'!$B$7="","",'00_Project'!$B$7)</f>
        <v xml:space="preserve">Project ID: </v>
      </c>
      <c r="F4" s="29"/>
      <c r="G4" s="29"/>
      <c r="H4" s="29"/>
      <c r="I4" s="29"/>
    </row>
    <row r="5" spans="1:9" ht="26.1" customHeight="1">
      <c r="A5" s="29" t="str">
        <f>"Client / Owner: "&amp;IF('00_Project'!$B$8="","",'00_Project'!$B$8)</f>
        <v xml:space="preserve">Client / Owner: </v>
      </c>
      <c r="B5" s="29"/>
      <c r="C5" s="29"/>
      <c r="D5" s="29"/>
      <c r="E5" s="29" t="str">
        <f>"Contractor: "&amp;IF('00_Project'!$B$9="","",'00_Project'!$B$9)</f>
        <v xml:space="preserve">Contractor: </v>
      </c>
      <c r="F5" s="29"/>
      <c r="G5" s="29"/>
      <c r="H5" s="29"/>
      <c r="I5" s="29"/>
    </row>
    <row r="6" spans="1:9" ht="26.1" customHeight="1">
      <c r="A6" s="29" t="str">
        <f>"Project document ID: "&amp;IF('00_Project'!$B$11="","",'00_Project'!$B$11)</f>
        <v xml:space="preserve">Project document ID: </v>
      </c>
      <c r="B6" s="29"/>
      <c r="C6" s="29"/>
      <c r="D6" s="29"/>
      <c r="E6" s="29" t="str">
        <f>"Project revision: "&amp;IF('00_Project'!$B$12="","",'00_Project'!$B$12)</f>
        <v xml:space="preserve">Project revision: </v>
      </c>
      <c r="F6" s="29"/>
      <c r="G6" s="29"/>
      <c r="H6" s="29"/>
      <c r="I6" s="29"/>
    </row>
    <row r="7" spans="1:9" ht="24" customHeight="1">
      <c r="A7" s="30" t="str">
        <f>"Document status: "&amp;IF('00_Project'!$B$13="","",'00_Project'!$B$13)</f>
        <v>Document status: Draft</v>
      </c>
      <c r="B7" s="30"/>
      <c r="C7" s="30"/>
      <c r="D7" s="30"/>
      <c r="E7" s="30" t="str">
        <f>"Issue date: "&amp;IF('00_Project'!$B$17="","",TEXT('00_Project'!$B$17,"dd-mmm-yyyy"))</f>
        <v xml:space="preserve">Issue date: </v>
      </c>
      <c r="F7" s="30"/>
      <c r="G7" s="30"/>
      <c r="H7" s="30"/>
      <c r="I7" s="30"/>
    </row>
    <row r="8" spans="1:9" ht="44.1" customHeight="1">
      <c r="A8" s="25" t="s">
        <v>230</v>
      </c>
      <c r="B8" s="25"/>
      <c r="C8" s="25"/>
      <c r="D8" s="25"/>
      <c r="E8" s="25"/>
      <c r="F8" s="25"/>
      <c r="G8" s="25"/>
      <c r="H8" s="25"/>
      <c r="I8" s="25"/>
    </row>
    <row r="9" spans="1:9" ht="26.1" customHeight="1">
      <c r="A9" s="29" t="str">
        <f>"Prepared by: "&amp;IF('00_Project'!$B$14="","",'00_Project'!$B$14)</f>
        <v xml:space="preserve">Prepared by: </v>
      </c>
      <c r="B9" s="29"/>
      <c r="C9" s="29"/>
      <c r="D9" s="29"/>
      <c r="E9" s="29" t="str">
        <f>"Reviewed by: "&amp;IF('00_Project'!$B$15="","",'00_Project'!$B$15)&amp;" / Approved by: "&amp;IF('00_Project'!$B$16="","",'00_Project'!$B$16)</f>
        <v xml:space="preserve">Reviewed by:  / Approved by: </v>
      </c>
      <c r="F9" s="29"/>
      <c r="G9" s="29"/>
      <c r="H9" s="29"/>
      <c r="I9" s="29"/>
    </row>
    <row r="10" spans="1:9" ht="24" customHeight="1">
      <c r="A10" s="1"/>
      <c r="B10" s="1"/>
      <c r="C10" s="1"/>
      <c r="D10" s="1"/>
      <c r="E10" s="1"/>
      <c r="F10" s="1"/>
      <c r="G10" s="1"/>
      <c r="H10" s="1"/>
      <c r="I10" s="1"/>
    </row>
    <row r="11" spans="1:9" ht="9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42" customHeight="1">
      <c r="A12" s="14" t="s">
        <v>124</v>
      </c>
      <c r="B12" s="14" t="s">
        <v>231</v>
      </c>
      <c r="C12" s="14" t="s">
        <v>232</v>
      </c>
      <c r="D12" s="14" t="s">
        <v>233</v>
      </c>
      <c r="E12" s="14" t="s">
        <v>234</v>
      </c>
      <c r="F12" s="14" t="s">
        <v>235</v>
      </c>
      <c r="G12" s="14" t="s">
        <v>236</v>
      </c>
      <c r="H12" s="14" t="s">
        <v>237</v>
      </c>
      <c r="I12" s="14" t="s">
        <v>108</v>
      </c>
    </row>
    <row r="13" spans="1:9" ht="24" customHeight="1">
      <c r="A13" s="15" t="str">
        <f t="shared" ref="A13:A76" si="0">IF(B13="","",ROW()-12)</f>
        <v/>
      </c>
      <c r="B13" s="16"/>
      <c r="C13" s="13"/>
      <c r="D13" s="13"/>
      <c r="E13" s="13"/>
      <c r="F13" s="16"/>
      <c r="G13" s="13"/>
      <c r="H13" s="13"/>
      <c r="I13" s="13"/>
    </row>
    <row r="14" spans="1:9" ht="24" customHeight="1">
      <c r="A14" s="15" t="str">
        <f t="shared" si="0"/>
        <v/>
      </c>
      <c r="B14" s="16"/>
      <c r="C14" s="13"/>
      <c r="D14" s="13"/>
      <c r="E14" s="13"/>
      <c r="F14" s="16"/>
      <c r="G14" s="13"/>
      <c r="H14" s="13"/>
      <c r="I14" s="13"/>
    </row>
    <row r="15" spans="1:9" ht="24" customHeight="1">
      <c r="A15" s="15" t="str">
        <f t="shared" si="0"/>
        <v/>
      </c>
      <c r="B15" s="16"/>
      <c r="C15" s="13"/>
      <c r="D15" s="13"/>
      <c r="E15" s="13"/>
      <c r="F15" s="16"/>
      <c r="G15" s="13"/>
      <c r="H15" s="13"/>
      <c r="I15" s="13"/>
    </row>
    <row r="16" spans="1:9" ht="24" customHeight="1">
      <c r="A16" s="15" t="str">
        <f t="shared" si="0"/>
        <v/>
      </c>
      <c r="B16" s="16"/>
      <c r="C16" s="13"/>
      <c r="D16" s="13"/>
      <c r="E16" s="13"/>
      <c r="F16" s="16"/>
      <c r="G16" s="13"/>
      <c r="H16" s="13"/>
      <c r="I16" s="13"/>
    </row>
    <row r="17" spans="1:9" ht="24" customHeight="1">
      <c r="A17" s="15" t="str">
        <f t="shared" si="0"/>
        <v/>
      </c>
      <c r="B17" s="16"/>
      <c r="C17" s="13"/>
      <c r="D17" s="13"/>
      <c r="E17" s="13"/>
      <c r="F17" s="16"/>
      <c r="G17" s="13"/>
      <c r="H17" s="13"/>
      <c r="I17" s="13"/>
    </row>
    <row r="18" spans="1:9" ht="24" customHeight="1">
      <c r="A18" s="15" t="str">
        <f t="shared" si="0"/>
        <v/>
      </c>
      <c r="B18" s="16"/>
      <c r="C18" s="13"/>
      <c r="D18" s="13"/>
      <c r="E18" s="13"/>
      <c r="F18" s="16"/>
      <c r="G18" s="13"/>
      <c r="H18" s="13"/>
      <c r="I18" s="13"/>
    </row>
    <row r="19" spans="1:9" ht="24" customHeight="1">
      <c r="A19" s="15" t="str">
        <f t="shared" si="0"/>
        <v/>
      </c>
      <c r="B19" s="16"/>
      <c r="C19" s="13"/>
      <c r="D19" s="13"/>
      <c r="E19" s="13"/>
      <c r="F19" s="16"/>
      <c r="G19" s="13"/>
      <c r="H19" s="13"/>
      <c r="I19" s="13"/>
    </row>
    <row r="20" spans="1:9" ht="24" customHeight="1">
      <c r="A20" s="15" t="str">
        <f t="shared" si="0"/>
        <v/>
      </c>
      <c r="B20" s="16"/>
      <c r="C20" s="13"/>
      <c r="D20" s="13"/>
      <c r="E20" s="13"/>
      <c r="F20" s="16"/>
      <c r="G20" s="13"/>
      <c r="H20" s="13"/>
      <c r="I20" s="13"/>
    </row>
    <row r="21" spans="1:9" ht="24" customHeight="1">
      <c r="A21" s="15" t="str">
        <f t="shared" si="0"/>
        <v/>
      </c>
      <c r="B21" s="16"/>
      <c r="C21" s="13"/>
      <c r="D21" s="13"/>
      <c r="E21" s="13"/>
      <c r="F21" s="16"/>
      <c r="G21" s="13"/>
      <c r="H21" s="13"/>
      <c r="I21" s="13"/>
    </row>
    <row r="22" spans="1:9" ht="24" customHeight="1">
      <c r="A22" s="15" t="str">
        <f t="shared" si="0"/>
        <v/>
      </c>
      <c r="B22" s="16"/>
      <c r="C22" s="13"/>
      <c r="D22" s="13"/>
      <c r="E22" s="13"/>
      <c r="F22" s="16"/>
      <c r="G22" s="13"/>
      <c r="H22" s="13"/>
      <c r="I22" s="13"/>
    </row>
    <row r="23" spans="1:9" ht="24" customHeight="1">
      <c r="A23" s="15" t="str">
        <f t="shared" si="0"/>
        <v/>
      </c>
      <c r="B23" s="16"/>
      <c r="C23" s="13"/>
      <c r="D23" s="13"/>
      <c r="E23" s="13"/>
      <c r="F23" s="16"/>
      <c r="G23" s="13"/>
      <c r="H23" s="13"/>
      <c r="I23" s="13"/>
    </row>
    <row r="24" spans="1:9" ht="24" customHeight="1">
      <c r="A24" s="15" t="str">
        <f t="shared" si="0"/>
        <v/>
      </c>
      <c r="B24" s="16"/>
      <c r="C24" s="13"/>
      <c r="D24" s="13"/>
      <c r="E24" s="13"/>
      <c r="F24" s="16"/>
      <c r="G24" s="13"/>
      <c r="H24" s="13"/>
      <c r="I24" s="13"/>
    </row>
    <row r="25" spans="1:9" ht="24" customHeight="1">
      <c r="A25" s="15" t="str">
        <f t="shared" si="0"/>
        <v/>
      </c>
      <c r="B25" s="16"/>
      <c r="C25" s="13"/>
      <c r="D25" s="13"/>
      <c r="E25" s="13"/>
      <c r="F25" s="16"/>
      <c r="G25" s="13"/>
      <c r="H25" s="13"/>
      <c r="I25" s="13"/>
    </row>
    <row r="26" spans="1:9" ht="24" customHeight="1">
      <c r="A26" s="15" t="str">
        <f t="shared" si="0"/>
        <v/>
      </c>
      <c r="B26" s="16"/>
      <c r="C26" s="13"/>
      <c r="D26" s="13"/>
      <c r="E26" s="13"/>
      <c r="F26" s="16"/>
      <c r="G26" s="13"/>
      <c r="H26" s="13"/>
      <c r="I26" s="13"/>
    </row>
    <row r="27" spans="1:9" ht="24" customHeight="1">
      <c r="A27" s="15" t="str">
        <f t="shared" si="0"/>
        <v/>
      </c>
      <c r="B27" s="16"/>
      <c r="C27" s="13"/>
      <c r="D27" s="13"/>
      <c r="E27" s="13"/>
      <c r="F27" s="16"/>
      <c r="G27" s="13"/>
      <c r="H27" s="13"/>
      <c r="I27" s="13"/>
    </row>
    <row r="28" spans="1:9" ht="24" customHeight="1">
      <c r="A28" s="15" t="str">
        <f t="shared" si="0"/>
        <v/>
      </c>
      <c r="B28" s="16"/>
      <c r="C28" s="13"/>
      <c r="D28" s="13"/>
      <c r="E28" s="13"/>
      <c r="F28" s="16"/>
      <c r="G28" s="13"/>
      <c r="H28" s="13"/>
      <c r="I28" s="13"/>
    </row>
    <row r="29" spans="1:9" ht="24" customHeight="1">
      <c r="A29" s="15" t="str">
        <f t="shared" si="0"/>
        <v/>
      </c>
      <c r="B29" s="16"/>
      <c r="C29" s="13"/>
      <c r="D29" s="13"/>
      <c r="E29" s="13"/>
      <c r="F29" s="16"/>
      <c r="G29" s="13"/>
      <c r="H29" s="13"/>
      <c r="I29" s="13"/>
    </row>
    <row r="30" spans="1:9" ht="24" customHeight="1">
      <c r="A30" s="15" t="str">
        <f t="shared" si="0"/>
        <v/>
      </c>
      <c r="B30" s="16"/>
      <c r="C30" s="13"/>
      <c r="D30" s="13"/>
      <c r="E30" s="13"/>
      <c r="F30" s="16"/>
      <c r="G30" s="13"/>
      <c r="H30" s="13"/>
      <c r="I30" s="13"/>
    </row>
    <row r="31" spans="1:9" ht="24" customHeight="1">
      <c r="A31" s="15" t="str">
        <f t="shared" si="0"/>
        <v/>
      </c>
      <c r="B31" s="16"/>
      <c r="C31" s="13"/>
      <c r="D31" s="13"/>
      <c r="E31" s="13"/>
      <c r="F31" s="16"/>
      <c r="G31" s="13"/>
      <c r="H31" s="13"/>
      <c r="I31" s="13"/>
    </row>
    <row r="32" spans="1:9" ht="24" customHeight="1">
      <c r="A32" s="15" t="str">
        <f t="shared" si="0"/>
        <v/>
      </c>
      <c r="B32" s="16"/>
      <c r="C32" s="13"/>
      <c r="D32" s="13"/>
      <c r="E32" s="13"/>
      <c r="F32" s="16"/>
      <c r="G32" s="13"/>
      <c r="H32" s="13"/>
      <c r="I32" s="13"/>
    </row>
    <row r="33" spans="1:9" ht="24" customHeight="1">
      <c r="A33" s="15" t="str">
        <f t="shared" si="0"/>
        <v/>
      </c>
      <c r="B33" s="16"/>
      <c r="C33" s="13"/>
      <c r="D33" s="13"/>
      <c r="E33" s="13"/>
      <c r="F33" s="16"/>
      <c r="G33" s="13"/>
      <c r="H33" s="13"/>
      <c r="I33" s="13"/>
    </row>
    <row r="34" spans="1:9" ht="24" customHeight="1">
      <c r="A34" s="15" t="str">
        <f t="shared" si="0"/>
        <v/>
      </c>
      <c r="B34" s="16"/>
      <c r="C34" s="13"/>
      <c r="D34" s="13"/>
      <c r="E34" s="13"/>
      <c r="F34" s="16"/>
      <c r="G34" s="13"/>
      <c r="H34" s="13"/>
      <c r="I34" s="13"/>
    </row>
    <row r="35" spans="1:9" ht="24" customHeight="1">
      <c r="A35" s="15" t="str">
        <f t="shared" si="0"/>
        <v/>
      </c>
      <c r="B35" s="16"/>
      <c r="C35" s="13"/>
      <c r="D35" s="13"/>
      <c r="E35" s="13"/>
      <c r="F35" s="16"/>
      <c r="G35" s="13"/>
      <c r="H35" s="13"/>
      <c r="I35" s="13"/>
    </row>
    <row r="36" spans="1:9" ht="24" customHeight="1">
      <c r="A36" s="15" t="str">
        <f t="shared" si="0"/>
        <v/>
      </c>
      <c r="B36" s="16"/>
      <c r="C36" s="13"/>
      <c r="D36" s="13"/>
      <c r="E36" s="13"/>
      <c r="F36" s="16"/>
      <c r="G36" s="13"/>
      <c r="H36" s="13"/>
      <c r="I36" s="13"/>
    </row>
    <row r="37" spans="1:9" ht="24" customHeight="1">
      <c r="A37" s="15" t="str">
        <f t="shared" si="0"/>
        <v/>
      </c>
      <c r="B37" s="16"/>
      <c r="C37" s="13"/>
      <c r="D37" s="13"/>
      <c r="E37" s="13"/>
      <c r="F37" s="16"/>
      <c r="G37" s="13"/>
      <c r="H37" s="13"/>
      <c r="I37" s="13"/>
    </row>
    <row r="38" spans="1:9" ht="24" customHeight="1">
      <c r="A38" s="15" t="str">
        <f t="shared" si="0"/>
        <v/>
      </c>
      <c r="B38" s="16"/>
      <c r="C38" s="13"/>
      <c r="D38" s="13"/>
      <c r="E38" s="13"/>
      <c r="F38" s="16"/>
      <c r="G38" s="13"/>
      <c r="H38" s="13"/>
      <c r="I38" s="13"/>
    </row>
    <row r="39" spans="1:9" ht="24" customHeight="1">
      <c r="A39" s="15" t="str">
        <f t="shared" si="0"/>
        <v/>
      </c>
      <c r="B39" s="16"/>
      <c r="C39" s="13"/>
      <c r="D39" s="13"/>
      <c r="E39" s="13"/>
      <c r="F39" s="16"/>
      <c r="G39" s="13"/>
      <c r="H39" s="13"/>
      <c r="I39" s="13"/>
    </row>
    <row r="40" spans="1:9" ht="24" customHeight="1">
      <c r="A40" s="15" t="str">
        <f t="shared" si="0"/>
        <v/>
      </c>
      <c r="B40" s="16"/>
      <c r="C40" s="13"/>
      <c r="D40" s="13"/>
      <c r="E40" s="13"/>
      <c r="F40" s="16"/>
      <c r="G40" s="13"/>
      <c r="H40" s="13"/>
      <c r="I40" s="13"/>
    </row>
    <row r="41" spans="1:9" ht="24" customHeight="1">
      <c r="A41" s="15" t="str">
        <f t="shared" si="0"/>
        <v/>
      </c>
      <c r="B41" s="16"/>
      <c r="C41" s="13"/>
      <c r="D41" s="13"/>
      <c r="E41" s="13"/>
      <c r="F41" s="16"/>
      <c r="G41" s="13"/>
      <c r="H41" s="13"/>
      <c r="I41" s="13"/>
    </row>
    <row r="42" spans="1:9" ht="24" customHeight="1">
      <c r="A42" s="15" t="str">
        <f t="shared" si="0"/>
        <v/>
      </c>
      <c r="B42" s="16"/>
      <c r="C42" s="13"/>
      <c r="D42" s="13"/>
      <c r="E42" s="13"/>
      <c r="F42" s="16"/>
      <c r="G42" s="13"/>
      <c r="H42" s="13"/>
      <c r="I42" s="13"/>
    </row>
    <row r="43" spans="1:9" ht="24" customHeight="1">
      <c r="A43" s="15" t="str">
        <f t="shared" si="0"/>
        <v/>
      </c>
      <c r="B43" s="16"/>
      <c r="C43" s="13"/>
      <c r="D43" s="13"/>
      <c r="E43" s="13"/>
      <c r="F43" s="16"/>
      <c r="G43" s="13"/>
      <c r="H43" s="13"/>
      <c r="I43" s="13"/>
    </row>
    <row r="44" spans="1:9" ht="24" customHeight="1">
      <c r="A44" s="15" t="str">
        <f t="shared" si="0"/>
        <v/>
      </c>
      <c r="B44" s="16"/>
      <c r="C44" s="13"/>
      <c r="D44" s="13"/>
      <c r="E44" s="13"/>
      <c r="F44" s="16"/>
      <c r="G44" s="13"/>
      <c r="H44" s="13"/>
      <c r="I44" s="13"/>
    </row>
    <row r="45" spans="1:9" ht="24" customHeight="1">
      <c r="A45" s="15" t="str">
        <f t="shared" si="0"/>
        <v/>
      </c>
      <c r="B45" s="16"/>
      <c r="C45" s="13"/>
      <c r="D45" s="13"/>
      <c r="E45" s="13"/>
      <c r="F45" s="16"/>
      <c r="G45" s="13"/>
      <c r="H45" s="13"/>
      <c r="I45" s="13"/>
    </row>
    <row r="46" spans="1:9" ht="24" customHeight="1">
      <c r="A46" s="15" t="str">
        <f t="shared" si="0"/>
        <v/>
      </c>
      <c r="B46" s="16"/>
      <c r="C46" s="13"/>
      <c r="D46" s="13"/>
      <c r="E46" s="13"/>
      <c r="F46" s="16"/>
      <c r="G46" s="13"/>
      <c r="H46" s="13"/>
      <c r="I46" s="13"/>
    </row>
    <row r="47" spans="1:9" ht="24" customHeight="1">
      <c r="A47" s="15" t="str">
        <f t="shared" si="0"/>
        <v/>
      </c>
      <c r="B47" s="16"/>
      <c r="C47" s="13"/>
      <c r="D47" s="13"/>
      <c r="E47" s="13"/>
      <c r="F47" s="16"/>
      <c r="G47" s="13"/>
      <c r="H47" s="13"/>
      <c r="I47" s="13"/>
    </row>
    <row r="48" spans="1:9" ht="24" customHeight="1">
      <c r="A48" s="15" t="str">
        <f t="shared" si="0"/>
        <v/>
      </c>
      <c r="B48" s="16"/>
      <c r="C48" s="13"/>
      <c r="D48" s="13"/>
      <c r="E48" s="13"/>
      <c r="F48" s="16"/>
      <c r="G48" s="13"/>
      <c r="H48" s="13"/>
      <c r="I48" s="13"/>
    </row>
    <row r="49" spans="1:9" ht="24" customHeight="1">
      <c r="A49" s="15" t="str">
        <f t="shared" si="0"/>
        <v/>
      </c>
      <c r="B49" s="16"/>
      <c r="C49" s="13"/>
      <c r="D49" s="13"/>
      <c r="E49" s="13"/>
      <c r="F49" s="16"/>
      <c r="G49" s="13"/>
      <c r="H49" s="13"/>
      <c r="I49" s="13"/>
    </row>
    <row r="50" spans="1:9" ht="24" customHeight="1">
      <c r="A50" s="15" t="str">
        <f t="shared" si="0"/>
        <v/>
      </c>
      <c r="B50" s="16"/>
      <c r="C50" s="13"/>
      <c r="D50" s="13"/>
      <c r="E50" s="13"/>
      <c r="F50" s="16"/>
      <c r="G50" s="13"/>
      <c r="H50" s="13"/>
      <c r="I50" s="13"/>
    </row>
    <row r="51" spans="1:9" ht="24" customHeight="1">
      <c r="A51" s="15" t="str">
        <f t="shared" si="0"/>
        <v/>
      </c>
      <c r="B51" s="16"/>
      <c r="C51" s="13"/>
      <c r="D51" s="13"/>
      <c r="E51" s="13"/>
      <c r="F51" s="16"/>
      <c r="G51" s="13"/>
      <c r="H51" s="13"/>
      <c r="I51" s="13"/>
    </row>
    <row r="52" spans="1:9" ht="24" customHeight="1">
      <c r="A52" s="15" t="str">
        <f t="shared" si="0"/>
        <v/>
      </c>
      <c r="B52" s="16"/>
      <c r="C52" s="13"/>
      <c r="D52" s="13"/>
      <c r="E52" s="13"/>
      <c r="F52" s="16"/>
      <c r="G52" s="13"/>
      <c r="H52" s="13"/>
      <c r="I52" s="13"/>
    </row>
    <row r="53" spans="1:9" ht="24" customHeight="1">
      <c r="A53" s="15" t="str">
        <f t="shared" si="0"/>
        <v/>
      </c>
      <c r="B53" s="16"/>
      <c r="C53" s="13"/>
      <c r="D53" s="13"/>
      <c r="E53" s="13"/>
      <c r="F53" s="16"/>
      <c r="G53" s="13"/>
      <c r="H53" s="13"/>
      <c r="I53" s="13"/>
    </row>
    <row r="54" spans="1:9" ht="24" customHeight="1">
      <c r="A54" s="15" t="str">
        <f t="shared" si="0"/>
        <v/>
      </c>
      <c r="B54" s="16"/>
      <c r="C54" s="13"/>
      <c r="D54" s="13"/>
      <c r="E54" s="13"/>
      <c r="F54" s="16"/>
      <c r="G54" s="13"/>
      <c r="H54" s="13"/>
      <c r="I54" s="13"/>
    </row>
    <row r="55" spans="1:9" ht="24" customHeight="1">
      <c r="A55" s="15" t="str">
        <f t="shared" si="0"/>
        <v/>
      </c>
      <c r="B55" s="16"/>
      <c r="C55" s="13"/>
      <c r="D55" s="13"/>
      <c r="E55" s="13"/>
      <c r="F55" s="16"/>
      <c r="G55" s="13"/>
      <c r="H55" s="13"/>
      <c r="I55" s="13"/>
    </row>
    <row r="56" spans="1:9" ht="24" customHeight="1">
      <c r="A56" s="15" t="str">
        <f t="shared" si="0"/>
        <v/>
      </c>
      <c r="B56" s="16"/>
      <c r="C56" s="13"/>
      <c r="D56" s="13"/>
      <c r="E56" s="13"/>
      <c r="F56" s="16"/>
      <c r="G56" s="13"/>
      <c r="H56" s="13"/>
      <c r="I56" s="13"/>
    </row>
    <row r="57" spans="1:9" ht="24" customHeight="1">
      <c r="A57" s="15" t="str">
        <f t="shared" si="0"/>
        <v/>
      </c>
      <c r="B57" s="16"/>
      <c r="C57" s="13"/>
      <c r="D57" s="13"/>
      <c r="E57" s="13"/>
      <c r="F57" s="16"/>
      <c r="G57" s="13"/>
      <c r="H57" s="13"/>
      <c r="I57" s="13"/>
    </row>
    <row r="58" spans="1:9" ht="24" customHeight="1">
      <c r="A58" s="15" t="str">
        <f t="shared" si="0"/>
        <v/>
      </c>
      <c r="B58" s="16"/>
      <c r="C58" s="13"/>
      <c r="D58" s="13"/>
      <c r="E58" s="13"/>
      <c r="F58" s="16"/>
      <c r="G58" s="13"/>
      <c r="H58" s="13"/>
      <c r="I58" s="13"/>
    </row>
    <row r="59" spans="1:9" ht="24" customHeight="1">
      <c r="A59" s="15" t="str">
        <f t="shared" si="0"/>
        <v/>
      </c>
      <c r="B59" s="16"/>
      <c r="C59" s="13"/>
      <c r="D59" s="13"/>
      <c r="E59" s="13"/>
      <c r="F59" s="16"/>
      <c r="G59" s="13"/>
      <c r="H59" s="13"/>
      <c r="I59" s="13"/>
    </row>
    <row r="60" spans="1:9" ht="24" customHeight="1">
      <c r="A60" s="15" t="str">
        <f t="shared" si="0"/>
        <v/>
      </c>
      <c r="B60" s="16"/>
      <c r="C60" s="13"/>
      <c r="D60" s="13"/>
      <c r="E60" s="13"/>
      <c r="F60" s="16"/>
      <c r="G60" s="13"/>
      <c r="H60" s="13"/>
      <c r="I60" s="13"/>
    </row>
    <row r="61" spans="1:9" ht="24" customHeight="1">
      <c r="A61" s="15" t="str">
        <f t="shared" si="0"/>
        <v/>
      </c>
      <c r="B61" s="16"/>
      <c r="C61" s="13"/>
      <c r="D61" s="13"/>
      <c r="E61" s="13"/>
      <c r="F61" s="16"/>
      <c r="G61" s="13"/>
      <c r="H61" s="13"/>
      <c r="I61" s="13"/>
    </row>
    <row r="62" spans="1:9" ht="24" customHeight="1">
      <c r="A62" s="15" t="str">
        <f t="shared" si="0"/>
        <v/>
      </c>
      <c r="B62" s="16"/>
      <c r="C62" s="13"/>
      <c r="D62" s="13"/>
      <c r="E62" s="13"/>
      <c r="F62" s="16"/>
      <c r="G62" s="13"/>
      <c r="H62" s="13"/>
      <c r="I62" s="13"/>
    </row>
    <row r="63" spans="1:9" ht="24" customHeight="1">
      <c r="A63" s="15" t="str">
        <f t="shared" si="0"/>
        <v/>
      </c>
      <c r="B63" s="16"/>
      <c r="C63" s="13"/>
      <c r="D63" s="13"/>
      <c r="E63" s="13"/>
      <c r="F63" s="16"/>
      <c r="G63" s="13"/>
      <c r="H63" s="13"/>
      <c r="I63" s="13"/>
    </row>
    <row r="64" spans="1:9" ht="24" customHeight="1">
      <c r="A64" s="15" t="str">
        <f t="shared" si="0"/>
        <v/>
      </c>
      <c r="B64" s="16"/>
      <c r="C64" s="13"/>
      <c r="D64" s="13"/>
      <c r="E64" s="13"/>
      <c r="F64" s="16"/>
      <c r="G64" s="13"/>
      <c r="H64" s="13"/>
      <c r="I64" s="13"/>
    </row>
    <row r="65" spans="1:9" ht="24" customHeight="1">
      <c r="A65" s="15" t="str">
        <f t="shared" si="0"/>
        <v/>
      </c>
      <c r="B65" s="16"/>
      <c r="C65" s="13"/>
      <c r="D65" s="13"/>
      <c r="E65" s="13"/>
      <c r="F65" s="16"/>
      <c r="G65" s="13"/>
      <c r="H65" s="13"/>
      <c r="I65" s="13"/>
    </row>
    <row r="66" spans="1:9" ht="24" customHeight="1">
      <c r="A66" s="15" t="str">
        <f t="shared" si="0"/>
        <v/>
      </c>
      <c r="B66" s="16"/>
      <c r="C66" s="13"/>
      <c r="D66" s="13"/>
      <c r="E66" s="13"/>
      <c r="F66" s="16"/>
      <c r="G66" s="13"/>
      <c r="H66" s="13"/>
      <c r="I66" s="13"/>
    </row>
    <row r="67" spans="1:9" ht="24" customHeight="1">
      <c r="A67" s="15" t="str">
        <f t="shared" si="0"/>
        <v/>
      </c>
      <c r="B67" s="16"/>
      <c r="C67" s="13"/>
      <c r="D67" s="13"/>
      <c r="E67" s="13"/>
      <c r="F67" s="16"/>
      <c r="G67" s="13"/>
      <c r="H67" s="13"/>
      <c r="I67" s="13"/>
    </row>
    <row r="68" spans="1:9" ht="24" customHeight="1">
      <c r="A68" s="15" t="str">
        <f t="shared" si="0"/>
        <v/>
      </c>
      <c r="B68" s="16"/>
      <c r="C68" s="13"/>
      <c r="D68" s="13"/>
      <c r="E68" s="13"/>
      <c r="F68" s="16"/>
      <c r="G68" s="13"/>
      <c r="H68" s="13"/>
      <c r="I68" s="13"/>
    </row>
    <row r="69" spans="1:9" ht="24" customHeight="1">
      <c r="A69" s="15" t="str">
        <f t="shared" si="0"/>
        <v/>
      </c>
      <c r="B69" s="16"/>
      <c r="C69" s="13"/>
      <c r="D69" s="13"/>
      <c r="E69" s="13"/>
      <c r="F69" s="16"/>
      <c r="G69" s="13"/>
      <c r="H69" s="13"/>
      <c r="I69" s="13"/>
    </row>
    <row r="70" spans="1:9" ht="24" customHeight="1">
      <c r="A70" s="15" t="str">
        <f t="shared" si="0"/>
        <v/>
      </c>
      <c r="B70" s="16"/>
      <c r="C70" s="13"/>
      <c r="D70" s="13"/>
      <c r="E70" s="13"/>
      <c r="F70" s="16"/>
      <c r="G70" s="13"/>
      <c r="H70" s="13"/>
      <c r="I70" s="13"/>
    </row>
    <row r="71" spans="1:9" ht="24" customHeight="1">
      <c r="A71" s="15" t="str">
        <f t="shared" si="0"/>
        <v/>
      </c>
      <c r="B71" s="16"/>
      <c r="C71" s="13"/>
      <c r="D71" s="13"/>
      <c r="E71" s="13"/>
      <c r="F71" s="16"/>
      <c r="G71" s="13"/>
      <c r="H71" s="13"/>
      <c r="I71" s="13"/>
    </row>
    <row r="72" spans="1:9" ht="24" customHeight="1">
      <c r="A72" s="15" t="str">
        <f t="shared" si="0"/>
        <v/>
      </c>
      <c r="B72" s="16"/>
      <c r="C72" s="13"/>
      <c r="D72" s="13"/>
      <c r="E72" s="13"/>
      <c r="F72" s="16"/>
      <c r="G72" s="13"/>
      <c r="H72" s="13"/>
      <c r="I72" s="13"/>
    </row>
    <row r="73" spans="1:9" ht="24" customHeight="1">
      <c r="A73" s="15" t="str">
        <f t="shared" si="0"/>
        <v/>
      </c>
      <c r="B73" s="16"/>
      <c r="C73" s="13"/>
      <c r="D73" s="13"/>
      <c r="E73" s="13"/>
      <c r="F73" s="16"/>
      <c r="G73" s="13"/>
      <c r="H73" s="13"/>
      <c r="I73" s="13"/>
    </row>
    <row r="74" spans="1:9" ht="24" customHeight="1">
      <c r="A74" s="15" t="str">
        <f t="shared" si="0"/>
        <v/>
      </c>
      <c r="B74" s="16"/>
      <c r="C74" s="13"/>
      <c r="D74" s="13"/>
      <c r="E74" s="13"/>
      <c r="F74" s="16"/>
      <c r="G74" s="13"/>
      <c r="H74" s="13"/>
      <c r="I74" s="13"/>
    </row>
    <row r="75" spans="1:9" ht="24" customHeight="1">
      <c r="A75" s="15" t="str">
        <f t="shared" si="0"/>
        <v/>
      </c>
      <c r="B75" s="16"/>
      <c r="C75" s="13"/>
      <c r="D75" s="13"/>
      <c r="E75" s="13"/>
      <c r="F75" s="16"/>
      <c r="G75" s="13"/>
      <c r="H75" s="13"/>
      <c r="I75" s="13"/>
    </row>
    <row r="76" spans="1:9" ht="24" customHeight="1">
      <c r="A76" s="15" t="str">
        <f t="shared" si="0"/>
        <v/>
      </c>
      <c r="B76" s="16"/>
      <c r="C76" s="13"/>
      <c r="D76" s="13"/>
      <c r="E76" s="13"/>
      <c r="F76" s="16"/>
      <c r="G76" s="13"/>
      <c r="H76" s="13"/>
      <c r="I76" s="13"/>
    </row>
    <row r="77" spans="1:9" ht="24" customHeight="1">
      <c r="A77" s="15" t="str">
        <f t="shared" ref="A77:A140" si="1">IF(B77="","",ROW()-12)</f>
        <v/>
      </c>
      <c r="B77" s="16"/>
      <c r="C77" s="13"/>
      <c r="D77" s="13"/>
      <c r="E77" s="13"/>
      <c r="F77" s="16"/>
      <c r="G77" s="13"/>
      <c r="H77" s="13"/>
      <c r="I77" s="13"/>
    </row>
    <row r="78" spans="1:9" ht="24" customHeight="1">
      <c r="A78" s="15" t="str">
        <f t="shared" si="1"/>
        <v/>
      </c>
      <c r="B78" s="16"/>
      <c r="C78" s="13"/>
      <c r="D78" s="13"/>
      <c r="E78" s="13"/>
      <c r="F78" s="16"/>
      <c r="G78" s="13"/>
      <c r="H78" s="13"/>
      <c r="I78" s="13"/>
    </row>
    <row r="79" spans="1:9" ht="24" customHeight="1">
      <c r="A79" s="15" t="str">
        <f t="shared" si="1"/>
        <v/>
      </c>
      <c r="B79" s="16"/>
      <c r="C79" s="13"/>
      <c r="D79" s="13"/>
      <c r="E79" s="13"/>
      <c r="F79" s="16"/>
      <c r="G79" s="13"/>
      <c r="H79" s="13"/>
      <c r="I79" s="13"/>
    </row>
    <row r="80" spans="1:9" ht="24" customHeight="1">
      <c r="A80" s="15" t="str">
        <f t="shared" si="1"/>
        <v/>
      </c>
      <c r="B80" s="16"/>
      <c r="C80" s="13"/>
      <c r="D80" s="13"/>
      <c r="E80" s="13"/>
      <c r="F80" s="16"/>
      <c r="G80" s="13"/>
      <c r="H80" s="13"/>
      <c r="I80" s="13"/>
    </row>
    <row r="81" spans="1:9" ht="24" customHeight="1">
      <c r="A81" s="15" t="str">
        <f t="shared" si="1"/>
        <v/>
      </c>
      <c r="B81" s="16"/>
      <c r="C81" s="13"/>
      <c r="D81" s="13"/>
      <c r="E81" s="13"/>
      <c r="F81" s="16"/>
      <c r="G81" s="13"/>
      <c r="H81" s="13"/>
      <c r="I81" s="13"/>
    </row>
    <row r="82" spans="1:9" ht="24" customHeight="1">
      <c r="A82" s="15" t="str">
        <f t="shared" si="1"/>
        <v/>
      </c>
      <c r="B82" s="16"/>
      <c r="C82" s="13"/>
      <c r="D82" s="13"/>
      <c r="E82" s="13"/>
      <c r="F82" s="16"/>
      <c r="G82" s="13"/>
      <c r="H82" s="13"/>
      <c r="I82" s="13"/>
    </row>
    <row r="83" spans="1:9" ht="24" customHeight="1">
      <c r="A83" s="15" t="str">
        <f t="shared" si="1"/>
        <v/>
      </c>
      <c r="B83" s="16"/>
      <c r="C83" s="13"/>
      <c r="D83" s="13"/>
      <c r="E83" s="13"/>
      <c r="F83" s="16"/>
      <c r="G83" s="13"/>
      <c r="H83" s="13"/>
      <c r="I83" s="13"/>
    </row>
    <row r="84" spans="1:9" ht="24" customHeight="1">
      <c r="A84" s="15" t="str">
        <f t="shared" si="1"/>
        <v/>
      </c>
      <c r="B84" s="16"/>
      <c r="C84" s="13"/>
      <c r="D84" s="13"/>
      <c r="E84" s="13"/>
      <c r="F84" s="16"/>
      <c r="G84" s="13"/>
      <c r="H84" s="13"/>
      <c r="I84" s="13"/>
    </row>
    <row r="85" spans="1:9" ht="24" customHeight="1">
      <c r="A85" s="15" t="str">
        <f t="shared" si="1"/>
        <v/>
      </c>
      <c r="B85" s="16"/>
      <c r="C85" s="13"/>
      <c r="D85" s="13"/>
      <c r="E85" s="13"/>
      <c r="F85" s="16"/>
      <c r="G85" s="13"/>
      <c r="H85" s="13"/>
      <c r="I85" s="13"/>
    </row>
    <row r="86" spans="1:9" ht="24" customHeight="1">
      <c r="A86" s="15" t="str">
        <f t="shared" si="1"/>
        <v/>
      </c>
      <c r="B86" s="16"/>
      <c r="C86" s="13"/>
      <c r="D86" s="13"/>
      <c r="E86" s="13"/>
      <c r="F86" s="16"/>
      <c r="G86" s="13"/>
      <c r="H86" s="13"/>
      <c r="I86" s="13"/>
    </row>
    <row r="87" spans="1:9" ht="24" customHeight="1">
      <c r="A87" s="15" t="str">
        <f t="shared" si="1"/>
        <v/>
      </c>
      <c r="B87" s="16"/>
      <c r="C87" s="13"/>
      <c r="D87" s="13"/>
      <c r="E87" s="13"/>
      <c r="F87" s="16"/>
      <c r="G87" s="13"/>
      <c r="H87" s="13"/>
      <c r="I87" s="13"/>
    </row>
    <row r="88" spans="1:9" ht="24" customHeight="1">
      <c r="A88" s="15" t="str">
        <f t="shared" si="1"/>
        <v/>
      </c>
      <c r="B88" s="16"/>
      <c r="C88" s="13"/>
      <c r="D88" s="13"/>
      <c r="E88" s="13"/>
      <c r="F88" s="16"/>
      <c r="G88" s="13"/>
      <c r="H88" s="13"/>
      <c r="I88" s="13"/>
    </row>
    <row r="89" spans="1:9" ht="24" customHeight="1">
      <c r="A89" s="15" t="str">
        <f t="shared" si="1"/>
        <v/>
      </c>
      <c r="B89" s="16"/>
      <c r="C89" s="13"/>
      <c r="D89" s="13"/>
      <c r="E89" s="13"/>
      <c r="F89" s="16"/>
      <c r="G89" s="13"/>
      <c r="H89" s="13"/>
      <c r="I89" s="13"/>
    </row>
    <row r="90" spans="1:9" ht="24" customHeight="1">
      <c r="A90" s="15" t="str">
        <f t="shared" si="1"/>
        <v/>
      </c>
      <c r="B90" s="16"/>
      <c r="C90" s="13"/>
      <c r="D90" s="13"/>
      <c r="E90" s="13"/>
      <c r="F90" s="16"/>
      <c r="G90" s="13"/>
      <c r="H90" s="13"/>
      <c r="I90" s="13"/>
    </row>
    <row r="91" spans="1:9" ht="24" customHeight="1">
      <c r="A91" s="15" t="str">
        <f t="shared" si="1"/>
        <v/>
      </c>
      <c r="B91" s="16"/>
      <c r="C91" s="13"/>
      <c r="D91" s="13"/>
      <c r="E91" s="13"/>
      <c r="F91" s="16"/>
      <c r="G91" s="13"/>
      <c r="H91" s="13"/>
      <c r="I91" s="13"/>
    </row>
    <row r="92" spans="1:9" ht="24" customHeight="1">
      <c r="A92" s="15" t="str">
        <f t="shared" si="1"/>
        <v/>
      </c>
      <c r="B92" s="16"/>
      <c r="C92" s="13"/>
      <c r="D92" s="13"/>
      <c r="E92" s="13"/>
      <c r="F92" s="16"/>
      <c r="G92" s="13"/>
      <c r="H92" s="13"/>
      <c r="I92" s="13"/>
    </row>
    <row r="93" spans="1:9" ht="24" customHeight="1">
      <c r="A93" s="15" t="str">
        <f t="shared" si="1"/>
        <v/>
      </c>
      <c r="B93" s="16"/>
      <c r="C93" s="13"/>
      <c r="D93" s="13"/>
      <c r="E93" s="13"/>
      <c r="F93" s="16"/>
      <c r="G93" s="13"/>
      <c r="H93" s="13"/>
      <c r="I93" s="13"/>
    </row>
    <row r="94" spans="1:9" ht="24" customHeight="1">
      <c r="A94" s="15" t="str">
        <f t="shared" si="1"/>
        <v/>
      </c>
      <c r="B94" s="16"/>
      <c r="C94" s="13"/>
      <c r="D94" s="13"/>
      <c r="E94" s="13"/>
      <c r="F94" s="16"/>
      <c r="G94" s="13"/>
      <c r="H94" s="13"/>
      <c r="I94" s="13"/>
    </row>
    <row r="95" spans="1:9" ht="24" customHeight="1">
      <c r="A95" s="15" t="str">
        <f t="shared" si="1"/>
        <v/>
      </c>
      <c r="B95" s="16"/>
      <c r="C95" s="13"/>
      <c r="D95" s="13"/>
      <c r="E95" s="13"/>
      <c r="F95" s="16"/>
      <c r="G95" s="13"/>
      <c r="H95" s="13"/>
      <c r="I95" s="13"/>
    </row>
    <row r="96" spans="1:9" ht="24" customHeight="1">
      <c r="A96" s="15" t="str">
        <f t="shared" si="1"/>
        <v/>
      </c>
      <c r="B96" s="16"/>
      <c r="C96" s="13"/>
      <c r="D96" s="13"/>
      <c r="E96" s="13"/>
      <c r="F96" s="16"/>
      <c r="G96" s="13"/>
      <c r="H96" s="13"/>
      <c r="I96" s="13"/>
    </row>
    <row r="97" spans="1:9" ht="24" customHeight="1">
      <c r="A97" s="15" t="str">
        <f t="shared" si="1"/>
        <v/>
      </c>
      <c r="B97" s="16"/>
      <c r="C97" s="13"/>
      <c r="D97" s="13"/>
      <c r="E97" s="13"/>
      <c r="F97" s="16"/>
      <c r="G97" s="13"/>
      <c r="H97" s="13"/>
      <c r="I97" s="13"/>
    </row>
    <row r="98" spans="1:9" ht="24" customHeight="1">
      <c r="A98" s="15" t="str">
        <f t="shared" si="1"/>
        <v/>
      </c>
      <c r="B98" s="16"/>
      <c r="C98" s="13"/>
      <c r="D98" s="13"/>
      <c r="E98" s="13"/>
      <c r="F98" s="16"/>
      <c r="G98" s="13"/>
      <c r="H98" s="13"/>
      <c r="I98" s="13"/>
    </row>
    <row r="99" spans="1:9" ht="24" customHeight="1">
      <c r="A99" s="15" t="str">
        <f t="shared" si="1"/>
        <v/>
      </c>
      <c r="B99" s="16"/>
      <c r="C99" s="13"/>
      <c r="D99" s="13"/>
      <c r="E99" s="13"/>
      <c r="F99" s="16"/>
      <c r="G99" s="13"/>
      <c r="H99" s="13"/>
      <c r="I99" s="13"/>
    </row>
    <row r="100" spans="1:9" ht="24" customHeight="1">
      <c r="A100" s="15" t="str">
        <f t="shared" si="1"/>
        <v/>
      </c>
      <c r="B100" s="16"/>
      <c r="C100" s="13"/>
      <c r="D100" s="13"/>
      <c r="E100" s="13"/>
      <c r="F100" s="16"/>
      <c r="G100" s="13"/>
      <c r="H100" s="13"/>
      <c r="I100" s="13"/>
    </row>
    <row r="101" spans="1:9" ht="24" customHeight="1">
      <c r="A101" s="15" t="str">
        <f t="shared" si="1"/>
        <v/>
      </c>
      <c r="B101" s="16"/>
      <c r="C101" s="13"/>
      <c r="D101" s="13"/>
      <c r="E101" s="13"/>
      <c r="F101" s="16"/>
      <c r="G101" s="13"/>
      <c r="H101" s="13"/>
      <c r="I101" s="13"/>
    </row>
    <row r="102" spans="1:9" ht="24" customHeight="1">
      <c r="A102" s="15" t="str">
        <f t="shared" si="1"/>
        <v/>
      </c>
      <c r="B102" s="16"/>
      <c r="C102" s="13"/>
      <c r="D102" s="13"/>
      <c r="E102" s="13"/>
      <c r="F102" s="16"/>
      <c r="G102" s="13"/>
      <c r="H102" s="13"/>
      <c r="I102" s="13"/>
    </row>
    <row r="103" spans="1:9" ht="24" customHeight="1">
      <c r="A103" s="15" t="str">
        <f t="shared" si="1"/>
        <v/>
      </c>
      <c r="B103" s="16"/>
      <c r="C103" s="13"/>
      <c r="D103" s="13"/>
      <c r="E103" s="13"/>
      <c r="F103" s="16"/>
      <c r="G103" s="13"/>
      <c r="H103" s="13"/>
      <c r="I103" s="13"/>
    </row>
    <row r="104" spans="1:9" ht="24" customHeight="1">
      <c r="A104" s="15" t="str">
        <f t="shared" si="1"/>
        <v/>
      </c>
      <c r="B104" s="16"/>
      <c r="C104" s="13"/>
      <c r="D104" s="13"/>
      <c r="E104" s="13"/>
      <c r="F104" s="16"/>
      <c r="G104" s="13"/>
      <c r="H104" s="13"/>
      <c r="I104" s="13"/>
    </row>
    <row r="105" spans="1:9" ht="24" customHeight="1">
      <c r="A105" s="15" t="str">
        <f t="shared" si="1"/>
        <v/>
      </c>
      <c r="B105" s="16"/>
      <c r="C105" s="13"/>
      <c r="D105" s="13"/>
      <c r="E105" s="13"/>
      <c r="F105" s="16"/>
      <c r="G105" s="13"/>
      <c r="H105" s="13"/>
      <c r="I105" s="13"/>
    </row>
    <row r="106" spans="1:9" ht="24" customHeight="1">
      <c r="A106" s="15" t="str">
        <f t="shared" si="1"/>
        <v/>
      </c>
      <c r="B106" s="16"/>
      <c r="C106" s="13"/>
      <c r="D106" s="13"/>
      <c r="E106" s="13"/>
      <c r="F106" s="16"/>
      <c r="G106" s="13"/>
      <c r="H106" s="13"/>
      <c r="I106" s="13"/>
    </row>
    <row r="107" spans="1:9" ht="24" customHeight="1">
      <c r="A107" s="15" t="str">
        <f t="shared" si="1"/>
        <v/>
      </c>
      <c r="B107" s="16"/>
      <c r="C107" s="13"/>
      <c r="D107" s="13"/>
      <c r="E107" s="13"/>
      <c r="F107" s="16"/>
      <c r="G107" s="13"/>
      <c r="H107" s="13"/>
      <c r="I107" s="13"/>
    </row>
    <row r="108" spans="1:9" ht="24" customHeight="1">
      <c r="A108" s="15" t="str">
        <f t="shared" si="1"/>
        <v/>
      </c>
      <c r="B108" s="16"/>
      <c r="C108" s="13"/>
      <c r="D108" s="13"/>
      <c r="E108" s="13"/>
      <c r="F108" s="16"/>
      <c r="G108" s="13"/>
      <c r="H108" s="13"/>
      <c r="I108" s="13"/>
    </row>
    <row r="109" spans="1:9" ht="24" customHeight="1">
      <c r="A109" s="15" t="str">
        <f t="shared" si="1"/>
        <v/>
      </c>
      <c r="B109" s="16"/>
      <c r="C109" s="13"/>
      <c r="D109" s="13"/>
      <c r="E109" s="13"/>
      <c r="F109" s="16"/>
      <c r="G109" s="13"/>
      <c r="H109" s="13"/>
      <c r="I109" s="13"/>
    </row>
    <row r="110" spans="1:9" ht="24" customHeight="1">
      <c r="A110" s="15" t="str">
        <f t="shared" si="1"/>
        <v/>
      </c>
      <c r="B110" s="16"/>
      <c r="C110" s="13"/>
      <c r="D110" s="13"/>
      <c r="E110" s="13"/>
      <c r="F110" s="16"/>
      <c r="G110" s="13"/>
      <c r="H110" s="13"/>
      <c r="I110" s="13"/>
    </row>
    <row r="111" spans="1:9" ht="24" customHeight="1">
      <c r="A111" s="15" t="str">
        <f t="shared" si="1"/>
        <v/>
      </c>
      <c r="B111" s="16"/>
      <c r="C111" s="13"/>
      <c r="D111" s="13"/>
      <c r="E111" s="13"/>
      <c r="F111" s="16"/>
      <c r="G111" s="13"/>
      <c r="H111" s="13"/>
      <c r="I111" s="13"/>
    </row>
    <row r="112" spans="1:9" ht="24" customHeight="1">
      <c r="A112" s="15" t="str">
        <f t="shared" si="1"/>
        <v/>
      </c>
      <c r="B112" s="16"/>
      <c r="C112" s="13"/>
      <c r="D112" s="13"/>
      <c r="E112" s="13"/>
      <c r="F112" s="16"/>
      <c r="G112" s="13"/>
      <c r="H112" s="13"/>
      <c r="I112" s="13"/>
    </row>
    <row r="113" spans="1:9" ht="24" customHeight="1">
      <c r="A113" s="15" t="str">
        <f t="shared" si="1"/>
        <v/>
      </c>
      <c r="B113" s="16"/>
      <c r="C113" s="13"/>
      <c r="D113" s="13"/>
      <c r="E113" s="13"/>
      <c r="F113" s="16"/>
      <c r="G113" s="13"/>
      <c r="H113" s="13"/>
      <c r="I113" s="13"/>
    </row>
    <row r="114" spans="1:9" ht="24" customHeight="1">
      <c r="A114" s="15" t="str">
        <f t="shared" si="1"/>
        <v/>
      </c>
      <c r="B114" s="16"/>
      <c r="C114" s="13"/>
      <c r="D114" s="13"/>
      <c r="E114" s="13"/>
      <c r="F114" s="16"/>
      <c r="G114" s="13"/>
      <c r="H114" s="13"/>
      <c r="I114" s="13"/>
    </row>
    <row r="115" spans="1:9" ht="24" customHeight="1">
      <c r="A115" s="15" t="str">
        <f t="shared" si="1"/>
        <v/>
      </c>
      <c r="B115" s="16"/>
      <c r="C115" s="13"/>
      <c r="D115" s="13"/>
      <c r="E115" s="13"/>
      <c r="F115" s="16"/>
      <c r="G115" s="13"/>
      <c r="H115" s="13"/>
      <c r="I115" s="13"/>
    </row>
    <row r="116" spans="1:9" ht="24" customHeight="1">
      <c r="A116" s="15" t="str">
        <f t="shared" si="1"/>
        <v/>
      </c>
      <c r="B116" s="16"/>
      <c r="C116" s="13"/>
      <c r="D116" s="13"/>
      <c r="E116" s="13"/>
      <c r="F116" s="16"/>
      <c r="G116" s="13"/>
      <c r="H116" s="13"/>
      <c r="I116" s="13"/>
    </row>
    <row r="117" spans="1:9" ht="24" customHeight="1">
      <c r="A117" s="15" t="str">
        <f t="shared" si="1"/>
        <v/>
      </c>
      <c r="B117" s="16"/>
      <c r="C117" s="13"/>
      <c r="D117" s="13"/>
      <c r="E117" s="13"/>
      <c r="F117" s="16"/>
      <c r="G117" s="13"/>
      <c r="H117" s="13"/>
      <c r="I117" s="13"/>
    </row>
    <row r="118" spans="1:9" ht="24" customHeight="1">
      <c r="A118" s="15" t="str">
        <f t="shared" si="1"/>
        <v/>
      </c>
      <c r="B118" s="16"/>
      <c r="C118" s="13"/>
      <c r="D118" s="13"/>
      <c r="E118" s="13"/>
      <c r="F118" s="16"/>
      <c r="G118" s="13"/>
      <c r="H118" s="13"/>
      <c r="I118" s="13"/>
    </row>
    <row r="119" spans="1:9" ht="24" customHeight="1">
      <c r="A119" s="15" t="str">
        <f t="shared" si="1"/>
        <v/>
      </c>
      <c r="B119" s="16"/>
      <c r="C119" s="13"/>
      <c r="D119" s="13"/>
      <c r="E119" s="13"/>
      <c r="F119" s="16"/>
      <c r="G119" s="13"/>
      <c r="H119" s="13"/>
      <c r="I119" s="13"/>
    </row>
    <row r="120" spans="1:9" ht="24" customHeight="1">
      <c r="A120" s="15" t="str">
        <f t="shared" si="1"/>
        <v/>
      </c>
      <c r="B120" s="16"/>
      <c r="C120" s="13"/>
      <c r="D120" s="13"/>
      <c r="E120" s="13"/>
      <c r="F120" s="16"/>
      <c r="G120" s="13"/>
      <c r="H120" s="13"/>
      <c r="I120" s="13"/>
    </row>
    <row r="121" spans="1:9" ht="24" customHeight="1">
      <c r="A121" s="15" t="str">
        <f t="shared" si="1"/>
        <v/>
      </c>
      <c r="B121" s="16"/>
      <c r="C121" s="13"/>
      <c r="D121" s="13"/>
      <c r="E121" s="13"/>
      <c r="F121" s="16"/>
      <c r="G121" s="13"/>
      <c r="H121" s="13"/>
      <c r="I121" s="13"/>
    </row>
    <row r="122" spans="1:9" ht="24" customHeight="1">
      <c r="A122" s="15" t="str">
        <f t="shared" si="1"/>
        <v/>
      </c>
      <c r="B122" s="16"/>
      <c r="C122" s="13"/>
      <c r="D122" s="13"/>
      <c r="E122" s="13"/>
      <c r="F122" s="16"/>
      <c r="G122" s="13"/>
      <c r="H122" s="13"/>
      <c r="I122" s="13"/>
    </row>
    <row r="123" spans="1:9" ht="24" customHeight="1">
      <c r="A123" s="15" t="str">
        <f t="shared" si="1"/>
        <v/>
      </c>
      <c r="B123" s="16"/>
      <c r="C123" s="13"/>
      <c r="D123" s="13"/>
      <c r="E123" s="13"/>
      <c r="F123" s="16"/>
      <c r="G123" s="13"/>
      <c r="H123" s="13"/>
      <c r="I123" s="13"/>
    </row>
    <row r="124" spans="1:9" ht="24" customHeight="1">
      <c r="A124" s="15" t="str">
        <f t="shared" si="1"/>
        <v/>
      </c>
      <c r="B124" s="16"/>
      <c r="C124" s="13"/>
      <c r="D124" s="13"/>
      <c r="E124" s="13"/>
      <c r="F124" s="16"/>
      <c r="G124" s="13"/>
      <c r="H124" s="13"/>
      <c r="I124" s="13"/>
    </row>
    <row r="125" spans="1:9" ht="24" customHeight="1">
      <c r="A125" s="15" t="str">
        <f t="shared" si="1"/>
        <v/>
      </c>
      <c r="B125" s="16"/>
      <c r="C125" s="13"/>
      <c r="D125" s="13"/>
      <c r="E125" s="13"/>
      <c r="F125" s="16"/>
      <c r="G125" s="13"/>
      <c r="H125" s="13"/>
      <c r="I125" s="13"/>
    </row>
    <row r="126" spans="1:9" ht="24" customHeight="1">
      <c r="A126" s="15" t="str">
        <f t="shared" si="1"/>
        <v/>
      </c>
      <c r="B126" s="16"/>
      <c r="C126" s="13"/>
      <c r="D126" s="13"/>
      <c r="E126" s="13"/>
      <c r="F126" s="16"/>
      <c r="G126" s="13"/>
      <c r="H126" s="13"/>
      <c r="I126" s="13"/>
    </row>
    <row r="127" spans="1:9" ht="24" customHeight="1">
      <c r="A127" s="15" t="str">
        <f t="shared" si="1"/>
        <v/>
      </c>
      <c r="B127" s="16"/>
      <c r="C127" s="13"/>
      <c r="D127" s="13"/>
      <c r="E127" s="13"/>
      <c r="F127" s="16"/>
      <c r="G127" s="13"/>
      <c r="H127" s="13"/>
      <c r="I127" s="13"/>
    </row>
    <row r="128" spans="1:9" ht="24" customHeight="1">
      <c r="A128" s="15" t="str">
        <f t="shared" si="1"/>
        <v/>
      </c>
      <c r="B128" s="16"/>
      <c r="C128" s="13"/>
      <c r="D128" s="13"/>
      <c r="E128" s="13"/>
      <c r="F128" s="16"/>
      <c r="G128" s="13"/>
      <c r="H128" s="13"/>
      <c r="I128" s="13"/>
    </row>
    <row r="129" spans="1:9" ht="24" customHeight="1">
      <c r="A129" s="15" t="str">
        <f t="shared" si="1"/>
        <v/>
      </c>
      <c r="B129" s="16"/>
      <c r="C129" s="13"/>
      <c r="D129" s="13"/>
      <c r="E129" s="13"/>
      <c r="F129" s="16"/>
      <c r="G129" s="13"/>
      <c r="H129" s="13"/>
      <c r="I129" s="13"/>
    </row>
    <row r="130" spans="1:9" ht="24" customHeight="1">
      <c r="A130" s="15" t="str">
        <f t="shared" si="1"/>
        <v/>
      </c>
      <c r="B130" s="16"/>
      <c r="C130" s="13"/>
      <c r="D130" s="13"/>
      <c r="E130" s="13"/>
      <c r="F130" s="16"/>
      <c r="G130" s="13"/>
      <c r="H130" s="13"/>
      <c r="I130" s="13"/>
    </row>
    <row r="131" spans="1:9" ht="24" customHeight="1">
      <c r="A131" s="15" t="str">
        <f t="shared" si="1"/>
        <v/>
      </c>
      <c r="B131" s="16"/>
      <c r="C131" s="13"/>
      <c r="D131" s="13"/>
      <c r="E131" s="13"/>
      <c r="F131" s="16"/>
      <c r="G131" s="13"/>
      <c r="H131" s="13"/>
      <c r="I131" s="13"/>
    </row>
    <row r="132" spans="1:9" ht="24" customHeight="1">
      <c r="A132" s="15" t="str">
        <f t="shared" si="1"/>
        <v/>
      </c>
      <c r="B132" s="16"/>
      <c r="C132" s="13"/>
      <c r="D132" s="13"/>
      <c r="E132" s="13"/>
      <c r="F132" s="16"/>
      <c r="G132" s="13"/>
      <c r="H132" s="13"/>
      <c r="I132" s="13"/>
    </row>
    <row r="133" spans="1:9" ht="24" customHeight="1">
      <c r="A133" s="15" t="str">
        <f t="shared" si="1"/>
        <v/>
      </c>
      <c r="B133" s="16"/>
      <c r="C133" s="13"/>
      <c r="D133" s="13"/>
      <c r="E133" s="13"/>
      <c r="F133" s="16"/>
      <c r="G133" s="13"/>
      <c r="H133" s="13"/>
      <c r="I133" s="13"/>
    </row>
    <row r="134" spans="1:9" ht="24" customHeight="1">
      <c r="A134" s="15" t="str">
        <f t="shared" si="1"/>
        <v/>
      </c>
      <c r="B134" s="16"/>
      <c r="C134" s="13"/>
      <c r="D134" s="13"/>
      <c r="E134" s="13"/>
      <c r="F134" s="16"/>
      <c r="G134" s="13"/>
      <c r="H134" s="13"/>
      <c r="I134" s="13"/>
    </row>
    <row r="135" spans="1:9" ht="24" customHeight="1">
      <c r="A135" s="15" t="str">
        <f t="shared" si="1"/>
        <v/>
      </c>
      <c r="B135" s="16"/>
      <c r="C135" s="13"/>
      <c r="D135" s="13"/>
      <c r="E135" s="13"/>
      <c r="F135" s="16"/>
      <c r="G135" s="13"/>
      <c r="H135" s="13"/>
      <c r="I135" s="13"/>
    </row>
    <row r="136" spans="1:9" ht="24" customHeight="1">
      <c r="A136" s="15" t="str">
        <f t="shared" si="1"/>
        <v/>
      </c>
      <c r="B136" s="16"/>
      <c r="C136" s="13"/>
      <c r="D136" s="13"/>
      <c r="E136" s="13"/>
      <c r="F136" s="16"/>
      <c r="G136" s="13"/>
      <c r="H136" s="13"/>
      <c r="I136" s="13"/>
    </row>
    <row r="137" spans="1:9" ht="24" customHeight="1">
      <c r="A137" s="15" t="str">
        <f t="shared" si="1"/>
        <v/>
      </c>
      <c r="B137" s="16"/>
      <c r="C137" s="13"/>
      <c r="D137" s="13"/>
      <c r="E137" s="13"/>
      <c r="F137" s="16"/>
      <c r="G137" s="13"/>
      <c r="H137" s="13"/>
      <c r="I137" s="13"/>
    </row>
    <row r="138" spans="1:9" ht="24" customHeight="1">
      <c r="A138" s="15" t="str">
        <f t="shared" si="1"/>
        <v/>
      </c>
      <c r="B138" s="16"/>
      <c r="C138" s="13"/>
      <c r="D138" s="13"/>
      <c r="E138" s="13"/>
      <c r="F138" s="16"/>
      <c r="G138" s="13"/>
      <c r="H138" s="13"/>
      <c r="I138" s="13"/>
    </row>
    <row r="139" spans="1:9" ht="24" customHeight="1">
      <c r="A139" s="15" t="str">
        <f t="shared" si="1"/>
        <v/>
      </c>
      <c r="B139" s="16"/>
      <c r="C139" s="13"/>
      <c r="D139" s="13"/>
      <c r="E139" s="13"/>
      <c r="F139" s="16"/>
      <c r="G139" s="13"/>
      <c r="H139" s="13"/>
      <c r="I139" s="13"/>
    </row>
    <row r="140" spans="1:9" ht="24" customHeight="1">
      <c r="A140" s="15" t="str">
        <f t="shared" si="1"/>
        <v/>
      </c>
      <c r="B140" s="16"/>
      <c r="C140" s="13"/>
      <c r="D140" s="13"/>
      <c r="E140" s="13"/>
      <c r="F140" s="16"/>
      <c r="G140" s="13"/>
      <c r="H140" s="13"/>
      <c r="I140" s="13"/>
    </row>
    <row r="141" spans="1:9" ht="24" customHeight="1">
      <c r="A141" s="15" t="str">
        <f t="shared" ref="A141:A204" si="2">IF(B141="","",ROW()-12)</f>
        <v/>
      </c>
      <c r="B141" s="16"/>
      <c r="C141" s="13"/>
      <c r="D141" s="13"/>
      <c r="E141" s="13"/>
      <c r="F141" s="16"/>
      <c r="G141" s="13"/>
      <c r="H141" s="13"/>
      <c r="I141" s="13"/>
    </row>
    <row r="142" spans="1:9" ht="24" customHeight="1">
      <c r="A142" s="15" t="str">
        <f t="shared" si="2"/>
        <v/>
      </c>
      <c r="B142" s="16"/>
      <c r="C142" s="13"/>
      <c r="D142" s="13"/>
      <c r="E142" s="13"/>
      <c r="F142" s="16"/>
      <c r="G142" s="13"/>
      <c r="H142" s="13"/>
      <c r="I142" s="13"/>
    </row>
    <row r="143" spans="1:9" ht="24" customHeight="1">
      <c r="A143" s="15" t="str">
        <f t="shared" si="2"/>
        <v/>
      </c>
      <c r="B143" s="16"/>
      <c r="C143" s="13"/>
      <c r="D143" s="13"/>
      <c r="E143" s="13"/>
      <c r="F143" s="16"/>
      <c r="G143" s="13"/>
      <c r="H143" s="13"/>
      <c r="I143" s="13"/>
    </row>
    <row r="144" spans="1:9" ht="24" customHeight="1">
      <c r="A144" s="15" t="str">
        <f t="shared" si="2"/>
        <v/>
      </c>
      <c r="B144" s="16"/>
      <c r="C144" s="13"/>
      <c r="D144" s="13"/>
      <c r="E144" s="13"/>
      <c r="F144" s="16"/>
      <c r="G144" s="13"/>
      <c r="H144" s="13"/>
      <c r="I144" s="13"/>
    </row>
    <row r="145" spans="1:9" ht="24" customHeight="1">
      <c r="A145" s="15" t="str">
        <f t="shared" si="2"/>
        <v/>
      </c>
      <c r="B145" s="16"/>
      <c r="C145" s="13"/>
      <c r="D145" s="13"/>
      <c r="E145" s="13"/>
      <c r="F145" s="16"/>
      <c r="G145" s="13"/>
      <c r="H145" s="13"/>
      <c r="I145" s="13"/>
    </row>
    <row r="146" spans="1:9" ht="24" customHeight="1">
      <c r="A146" s="15" t="str">
        <f t="shared" si="2"/>
        <v/>
      </c>
      <c r="B146" s="16"/>
      <c r="C146" s="13"/>
      <c r="D146" s="13"/>
      <c r="E146" s="13"/>
      <c r="F146" s="16"/>
      <c r="G146" s="13"/>
      <c r="H146" s="13"/>
      <c r="I146" s="13"/>
    </row>
    <row r="147" spans="1:9" ht="24" customHeight="1">
      <c r="A147" s="15" t="str">
        <f t="shared" si="2"/>
        <v/>
      </c>
      <c r="B147" s="16"/>
      <c r="C147" s="13"/>
      <c r="D147" s="13"/>
      <c r="E147" s="13"/>
      <c r="F147" s="16"/>
      <c r="G147" s="13"/>
      <c r="H147" s="13"/>
      <c r="I147" s="13"/>
    </row>
    <row r="148" spans="1:9" ht="24" customHeight="1">
      <c r="A148" s="15" t="str">
        <f t="shared" si="2"/>
        <v/>
      </c>
      <c r="B148" s="16"/>
      <c r="C148" s="13"/>
      <c r="D148" s="13"/>
      <c r="E148" s="13"/>
      <c r="F148" s="16"/>
      <c r="G148" s="13"/>
      <c r="H148" s="13"/>
      <c r="I148" s="13"/>
    </row>
    <row r="149" spans="1:9" ht="24" customHeight="1">
      <c r="A149" s="15" t="str">
        <f t="shared" si="2"/>
        <v/>
      </c>
      <c r="B149" s="16"/>
      <c r="C149" s="13"/>
      <c r="D149" s="13"/>
      <c r="E149" s="13"/>
      <c r="F149" s="16"/>
      <c r="G149" s="13"/>
      <c r="H149" s="13"/>
      <c r="I149" s="13"/>
    </row>
    <row r="150" spans="1:9" ht="24" customHeight="1">
      <c r="A150" s="15" t="str">
        <f t="shared" si="2"/>
        <v/>
      </c>
      <c r="B150" s="16"/>
      <c r="C150" s="13"/>
      <c r="D150" s="13"/>
      <c r="E150" s="13"/>
      <c r="F150" s="16"/>
      <c r="G150" s="13"/>
      <c r="H150" s="13"/>
      <c r="I150" s="13"/>
    </row>
    <row r="151" spans="1:9" ht="24" customHeight="1">
      <c r="A151" s="15" t="str">
        <f t="shared" si="2"/>
        <v/>
      </c>
      <c r="B151" s="16"/>
      <c r="C151" s="13"/>
      <c r="D151" s="13"/>
      <c r="E151" s="13"/>
      <c r="F151" s="16"/>
      <c r="G151" s="13"/>
      <c r="H151" s="13"/>
      <c r="I151" s="13"/>
    </row>
    <row r="152" spans="1:9" ht="24" customHeight="1">
      <c r="A152" s="15" t="str">
        <f t="shared" si="2"/>
        <v/>
      </c>
      <c r="B152" s="16"/>
      <c r="C152" s="13"/>
      <c r="D152" s="13"/>
      <c r="E152" s="13"/>
      <c r="F152" s="16"/>
      <c r="G152" s="13"/>
      <c r="H152" s="13"/>
      <c r="I152" s="13"/>
    </row>
    <row r="153" spans="1:9" ht="24" customHeight="1">
      <c r="A153" s="15" t="str">
        <f t="shared" si="2"/>
        <v/>
      </c>
      <c r="B153" s="16"/>
      <c r="C153" s="13"/>
      <c r="D153" s="13"/>
      <c r="E153" s="13"/>
      <c r="F153" s="16"/>
      <c r="G153" s="13"/>
      <c r="H153" s="13"/>
      <c r="I153" s="13"/>
    </row>
    <row r="154" spans="1:9" ht="24" customHeight="1">
      <c r="A154" s="15" t="str">
        <f t="shared" si="2"/>
        <v/>
      </c>
      <c r="B154" s="16"/>
      <c r="C154" s="13"/>
      <c r="D154" s="13"/>
      <c r="E154" s="13"/>
      <c r="F154" s="16"/>
      <c r="G154" s="13"/>
      <c r="H154" s="13"/>
      <c r="I154" s="13"/>
    </row>
    <row r="155" spans="1:9" ht="24" customHeight="1">
      <c r="A155" s="15" t="str">
        <f t="shared" si="2"/>
        <v/>
      </c>
      <c r="B155" s="16"/>
      <c r="C155" s="13"/>
      <c r="D155" s="13"/>
      <c r="E155" s="13"/>
      <c r="F155" s="16"/>
      <c r="G155" s="13"/>
      <c r="H155" s="13"/>
      <c r="I155" s="13"/>
    </row>
    <row r="156" spans="1:9" ht="24" customHeight="1">
      <c r="A156" s="15" t="str">
        <f t="shared" si="2"/>
        <v/>
      </c>
      <c r="B156" s="16"/>
      <c r="C156" s="13"/>
      <c r="D156" s="13"/>
      <c r="E156" s="13"/>
      <c r="F156" s="16"/>
      <c r="G156" s="13"/>
      <c r="H156" s="13"/>
      <c r="I156" s="13"/>
    </row>
    <row r="157" spans="1:9" ht="24" customHeight="1">
      <c r="A157" s="15" t="str">
        <f t="shared" si="2"/>
        <v/>
      </c>
      <c r="B157" s="16"/>
      <c r="C157" s="13"/>
      <c r="D157" s="13"/>
      <c r="E157" s="13"/>
      <c r="F157" s="16"/>
      <c r="G157" s="13"/>
      <c r="H157" s="13"/>
      <c r="I157" s="13"/>
    </row>
    <row r="158" spans="1:9" ht="24" customHeight="1">
      <c r="A158" s="15" t="str">
        <f t="shared" si="2"/>
        <v/>
      </c>
      <c r="B158" s="16"/>
      <c r="C158" s="13"/>
      <c r="D158" s="13"/>
      <c r="E158" s="13"/>
      <c r="F158" s="16"/>
      <c r="G158" s="13"/>
      <c r="H158" s="13"/>
      <c r="I158" s="13"/>
    </row>
    <row r="159" spans="1:9" ht="24" customHeight="1">
      <c r="A159" s="15" t="str">
        <f t="shared" si="2"/>
        <v/>
      </c>
      <c r="B159" s="16"/>
      <c r="C159" s="13"/>
      <c r="D159" s="13"/>
      <c r="E159" s="13"/>
      <c r="F159" s="16"/>
      <c r="G159" s="13"/>
      <c r="H159" s="13"/>
      <c r="I159" s="13"/>
    </row>
    <row r="160" spans="1:9" ht="24" customHeight="1">
      <c r="A160" s="15" t="str">
        <f t="shared" si="2"/>
        <v/>
      </c>
      <c r="B160" s="16"/>
      <c r="C160" s="13"/>
      <c r="D160" s="13"/>
      <c r="E160" s="13"/>
      <c r="F160" s="16"/>
      <c r="G160" s="13"/>
      <c r="H160" s="13"/>
      <c r="I160" s="13"/>
    </row>
    <row r="161" spans="1:9" ht="24" customHeight="1">
      <c r="A161" s="15" t="str">
        <f t="shared" si="2"/>
        <v/>
      </c>
      <c r="B161" s="16"/>
      <c r="C161" s="13"/>
      <c r="D161" s="13"/>
      <c r="E161" s="13"/>
      <c r="F161" s="16"/>
      <c r="G161" s="13"/>
      <c r="H161" s="13"/>
      <c r="I161" s="13"/>
    </row>
    <row r="162" spans="1:9" ht="24" customHeight="1">
      <c r="A162" s="15" t="str">
        <f t="shared" si="2"/>
        <v/>
      </c>
      <c r="B162" s="16"/>
      <c r="C162" s="13"/>
      <c r="D162" s="13"/>
      <c r="E162" s="13"/>
      <c r="F162" s="16"/>
      <c r="G162" s="13"/>
      <c r="H162" s="13"/>
      <c r="I162" s="13"/>
    </row>
    <row r="163" spans="1:9" ht="24" customHeight="1">
      <c r="A163" s="15" t="str">
        <f t="shared" si="2"/>
        <v/>
      </c>
      <c r="B163" s="16"/>
      <c r="C163" s="13"/>
      <c r="D163" s="13"/>
      <c r="E163" s="13"/>
      <c r="F163" s="16"/>
      <c r="G163" s="13"/>
      <c r="H163" s="13"/>
      <c r="I163" s="13"/>
    </row>
    <row r="164" spans="1:9" ht="24" customHeight="1">
      <c r="A164" s="15" t="str">
        <f t="shared" si="2"/>
        <v/>
      </c>
      <c r="B164" s="16"/>
      <c r="C164" s="13"/>
      <c r="D164" s="13"/>
      <c r="E164" s="13"/>
      <c r="F164" s="16"/>
      <c r="G164" s="13"/>
      <c r="H164" s="13"/>
      <c r="I164" s="13"/>
    </row>
    <row r="165" spans="1:9" ht="24" customHeight="1">
      <c r="A165" s="15" t="str">
        <f t="shared" si="2"/>
        <v/>
      </c>
      <c r="B165" s="16"/>
      <c r="C165" s="13"/>
      <c r="D165" s="13"/>
      <c r="E165" s="13"/>
      <c r="F165" s="16"/>
      <c r="G165" s="13"/>
      <c r="H165" s="13"/>
      <c r="I165" s="13"/>
    </row>
    <row r="166" spans="1:9" ht="24" customHeight="1">
      <c r="A166" s="15" t="str">
        <f t="shared" si="2"/>
        <v/>
      </c>
      <c r="B166" s="16"/>
      <c r="C166" s="13"/>
      <c r="D166" s="13"/>
      <c r="E166" s="13"/>
      <c r="F166" s="16"/>
      <c r="G166" s="13"/>
      <c r="H166" s="13"/>
      <c r="I166" s="13"/>
    </row>
    <row r="167" spans="1:9" ht="24" customHeight="1">
      <c r="A167" s="15" t="str">
        <f t="shared" si="2"/>
        <v/>
      </c>
      <c r="B167" s="16"/>
      <c r="C167" s="13"/>
      <c r="D167" s="13"/>
      <c r="E167" s="13"/>
      <c r="F167" s="16"/>
      <c r="G167" s="13"/>
      <c r="H167" s="13"/>
      <c r="I167" s="13"/>
    </row>
    <row r="168" spans="1:9" ht="24" customHeight="1">
      <c r="A168" s="15" t="str">
        <f t="shared" si="2"/>
        <v/>
      </c>
      <c r="B168" s="16"/>
      <c r="C168" s="13"/>
      <c r="D168" s="13"/>
      <c r="E168" s="13"/>
      <c r="F168" s="16"/>
      <c r="G168" s="13"/>
      <c r="H168" s="13"/>
      <c r="I168" s="13"/>
    </row>
    <row r="169" spans="1:9" ht="24" customHeight="1">
      <c r="A169" s="15" t="str">
        <f t="shared" si="2"/>
        <v/>
      </c>
      <c r="B169" s="16"/>
      <c r="C169" s="13"/>
      <c r="D169" s="13"/>
      <c r="E169" s="13"/>
      <c r="F169" s="16"/>
      <c r="G169" s="13"/>
      <c r="H169" s="13"/>
      <c r="I169" s="13"/>
    </row>
    <row r="170" spans="1:9" ht="24" customHeight="1">
      <c r="A170" s="15" t="str">
        <f t="shared" si="2"/>
        <v/>
      </c>
      <c r="B170" s="16"/>
      <c r="C170" s="13"/>
      <c r="D170" s="13"/>
      <c r="E170" s="13"/>
      <c r="F170" s="16"/>
      <c r="G170" s="13"/>
      <c r="H170" s="13"/>
      <c r="I170" s="13"/>
    </row>
    <row r="171" spans="1:9" ht="24" customHeight="1">
      <c r="A171" s="15" t="str">
        <f t="shared" si="2"/>
        <v/>
      </c>
      <c r="B171" s="16"/>
      <c r="C171" s="13"/>
      <c r="D171" s="13"/>
      <c r="E171" s="13"/>
      <c r="F171" s="16"/>
      <c r="G171" s="13"/>
      <c r="H171" s="13"/>
      <c r="I171" s="13"/>
    </row>
    <row r="172" spans="1:9" ht="24" customHeight="1">
      <c r="A172" s="15" t="str">
        <f t="shared" si="2"/>
        <v/>
      </c>
      <c r="B172" s="16"/>
      <c r="C172" s="13"/>
      <c r="D172" s="13"/>
      <c r="E172" s="13"/>
      <c r="F172" s="16"/>
      <c r="G172" s="13"/>
      <c r="H172" s="13"/>
      <c r="I172" s="13"/>
    </row>
    <row r="173" spans="1:9" ht="24" customHeight="1">
      <c r="A173" s="15" t="str">
        <f t="shared" si="2"/>
        <v/>
      </c>
      <c r="B173" s="16"/>
      <c r="C173" s="13"/>
      <c r="D173" s="13"/>
      <c r="E173" s="13"/>
      <c r="F173" s="16"/>
      <c r="G173" s="13"/>
      <c r="H173" s="13"/>
      <c r="I173" s="13"/>
    </row>
    <row r="174" spans="1:9" ht="24" customHeight="1">
      <c r="A174" s="15" t="str">
        <f t="shared" si="2"/>
        <v/>
      </c>
      <c r="B174" s="16"/>
      <c r="C174" s="13"/>
      <c r="D174" s="13"/>
      <c r="E174" s="13"/>
      <c r="F174" s="16"/>
      <c r="G174" s="13"/>
      <c r="H174" s="13"/>
      <c r="I174" s="13"/>
    </row>
    <row r="175" spans="1:9" ht="24" customHeight="1">
      <c r="A175" s="15" t="str">
        <f t="shared" si="2"/>
        <v/>
      </c>
      <c r="B175" s="16"/>
      <c r="C175" s="13"/>
      <c r="D175" s="13"/>
      <c r="E175" s="13"/>
      <c r="F175" s="16"/>
      <c r="G175" s="13"/>
      <c r="H175" s="13"/>
      <c r="I175" s="13"/>
    </row>
    <row r="176" spans="1:9" ht="24" customHeight="1">
      <c r="A176" s="15" t="str">
        <f t="shared" si="2"/>
        <v/>
      </c>
      <c r="B176" s="16"/>
      <c r="C176" s="13"/>
      <c r="D176" s="13"/>
      <c r="E176" s="13"/>
      <c r="F176" s="16"/>
      <c r="G176" s="13"/>
      <c r="H176" s="13"/>
      <c r="I176" s="13"/>
    </row>
    <row r="177" spans="1:9" ht="24" customHeight="1">
      <c r="A177" s="15" t="str">
        <f t="shared" si="2"/>
        <v/>
      </c>
      <c r="B177" s="16"/>
      <c r="C177" s="13"/>
      <c r="D177" s="13"/>
      <c r="E177" s="13"/>
      <c r="F177" s="16"/>
      <c r="G177" s="13"/>
      <c r="H177" s="13"/>
      <c r="I177" s="13"/>
    </row>
    <row r="178" spans="1:9" ht="24" customHeight="1">
      <c r="A178" s="15" t="str">
        <f t="shared" si="2"/>
        <v/>
      </c>
      <c r="B178" s="16"/>
      <c r="C178" s="13"/>
      <c r="D178" s="13"/>
      <c r="E178" s="13"/>
      <c r="F178" s="16"/>
      <c r="G178" s="13"/>
      <c r="H178" s="13"/>
      <c r="I178" s="13"/>
    </row>
    <row r="179" spans="1:9" ht="24" customHeight="1">
      <c r="A179" s="15" t="str">
        <f t="shared" si="2"/>
        <v/>
      </c>
      <c r="B179" s="16"/>
      <c r="C179" s="13"/>
      <c r="D179" s="13"/>
      <c r="E179" s="13"/>
      <c r="F179" s="16"/>
      <c r="G179" s="13"/>
      <c r="H179" s="13"/>
      <c r="I179" s="13"/>
    </row>
    <row r="180" spans="1:9" ht="24" customHeight="1">
      <c r="A180" s="15" t="str">
        <f t="shared" si="2"/>
        <v/>
      </c>
      <c r="B180" s="16"/>
      <c r="C180" s="13"/>
      <c r="D180" s="13"/>
      <c r="E180" s="13"/>
      <c r="F180" s="16"/>
      <c r="G180" s="13"/>
      <c r="H180" s="13"/>
      <c r="I180" s="13"/>
    </row>
    <row r="181" spans="1:9" ht="24" customHeight="1">
      <c r="A181" s="15" t="str">
        <f t="shared" si="2"/>
        <v/>
      </c>
      <c r="B181" s="16"/>
      <c r="C181" s="13"/>
      <c r="D181" s="13"/>
      <c r="E181" s="13"/>
      <c r="F181" s="16"/>
      <c r="G181" s="13"/>
      <c r="H181" s="13"/>
      <c r="I181" s="13"/>
    </row>
    <row r="182" spans="1:9" ht="24" customHeight="1">
      <c r="A182" s="15" t="str">
        <f t="shared" si="2"/>
        <v/>
      </c>
      <c r="B182" s="16"/>
      <c r="C182" s="13"/>
      <c r="D182" s="13"/>
      <c r="E182" s="13"/>
      <c r="F182" s="16"/>
      <c r="G182" s="13"/>
      <c r="H182" s="13"/>
      <c r="I182" s="13"/>
    </row>
    <row r="183" spans="1:9" ht="24" customHeight="1">
      <c r="A183" s="15" t="str">
        <f t="shared" si="2"/>
        <v/>
      </c>
      <c r="B183" s="16"/>
      <c r="C183" s="13"/>
      <c r="D183" s="13"/>
      <c r="E183" s="13"/>
      <c r="F183" s="16"/>
      <c r="G183" s="13"/>
      <c r="H183" s="13"/>
      <c r="I183" s="13"/>
    </row>
    <row r="184" spans="1:9" ht="24" customHeight="1">
      <c r="A184" s="15" t="str">
        <f t="shared" si="2"/>
        <v/>
      </c>
      <c r="B184" s="16"/>
      <c r="C184" s="13"/>
      <c r="D184" s="13"/>
      <c r="E184" s="13"/>
      <c r="F184" s="16"/>
      <c r="G184" s="13"/>
      <c r="H184" s="13"/>
      <c r="I184" s="13"/>
    </row>
    <row r="185" spans="1:9" ht="24" customHeight="1">
      <c r="A185" s="15" t="str">
        <f t="shared" si="2"/>
        <v/>
      </c>
      <c r="B185" s="16"/>
      <c r="C185" s="13"/>
      <c r="D185" s="13"/>
      <c r="E185" s="13"/>
      <c r="F185" s="16"/>
      <c r="G185" s="13"/>
      <c r="H185" s="13"/>
      <c r="I185" s="13"/>
    </row>
    <row r="186" spans="1:9" ht="24" customHeight="1">
      <c r="A186" s="15" t="str">
        <f t="shared" si="2"/>
        <v/>
      </c>
      <c r="B186" s="16"/>
      <c r="C186" s="13"/>
      <c r="D186" s="13"/>
      <c r="E186" s="13"/>
      <c r="F186" s="16"/>
      <c r="G186" s="13"/>
      <c r="H186" s="13"/>
      <c r="I186" s="13"/>
    </row>
    <row r="187" spans="1:9" ht="24" customHeight="1">
      <c r="A187" s="15" t="str">
        <f t="shared" si="2"/>
        <v/>
      </c>
      <c r="B187" s="16"/>
      <c r="C187" s="13"/>
      <c r="D187" s="13"/>
      <c r="E187" s="13"/>
      <c r="F187" s="16"/>
      <c r="G187" s="13"/>
      <c r="H187" s="13"/>
      <c r="I187" s="13"/>
    </row>
    <row r="188" spans="1:9" ht="24" customHeight="1">
      <c r="A188" s="15" t="str">
        <f t="shared" si="2"/>
        <v/>
      </c>
      <c r="B188" s="16"/>
      <c r="C188" s="13"/>
      <c r="D188" s="13"/>
      <c r="E188" s="13"/>
      <c r="F188" s="16"/>
      <c r="G188" s="13"/>
      <c r="H188" s="13"/>
      <c r="I188" s="13"/>
    </row>
    <row r="189" spans="1:9" ht="24" customHeight="1">
      <c r="A189" s="15" t="str">
        <f t="shared" si="2"/>
        <v/>
      </c>
      <c r="B189" s="16"/>
      <c r="C189" s="13"/>
      <c r="D189" s="13"/>
      <c r="E189" s="13"/>
      <c r="F189" s="16"/>
      <c r="G189" s="13"/>
      <c r="H189" s="13"/>
      <c r="I189" s="13"/>
    </row>
    <row r="190" spans="1:9" ht="24" customHeight="1">
      <c r="A190" s="15" t="str">
        <f t="shared" si="2"/>
        <v/>
      </c>
      <c r="B190" s="16"/>
      <c r="C190" s="13"/>
      <c r="D190" s="13"/>
      <c r="E190" s="13"/>
      <c r="F190" s="16"/>
      <c r="G190" s="13"/>
      <c r="H190" s="13"/>
      <c r="I190" s="13"/>
    </row>
    <row r="191" spans="1:9" ht="24" customHeight="1">
      <c r="A191" s="15" t="str">
        <f t="shared" si="2"/>
        <v/>
      </c>
      <c r="B191" s="16"/>
      <c r="C191" s="13"/>
      <c r="D191" s="13"/>
      <c r="E191" s="13"/>
      <c r="F191" s="16"/>
      <c r="G191" s="13"/>
      <c r="H191" s="13"/>
      <c r="I191" s="13"/>
    </row>
    <row r="192" spans="1:9" ht="24" customHeight="1">
      <c r="A192" s="15" t="str">
        <f t="shared" si="2"/>
        <v/>
      </c>
      <c r="B192" s="16"/>
      <c r="C192" s="13"/>
      <c r="D192" s="13"/>
      <c r="E192" s="13"/>
      <c r="F192" s="16"/>
      <c r="G192" s="13"/>
      <c r="H192" s="13"/>
      <c r="I192" s="13"/>
    </row>
    <row r="193" spans="1:9" ht="24" customHeight="1">
      <c r="A193" s="15" t="str">
        <f t="shared" si="2"/>
        <v/>
      </c>
      <c r="B193" s="16"/>
      <c r="C193" s="13"/>
      <c r="D193" s="13"/>
      <c r="E193" s="13"/>
      <c r="F193" s="16"/>
      <c r="G193" s="13"/>
      <c r="H193" s="13"/>
      <c r="I193" s="13"/>
    </row>
    <row r="194" spans="1:9" ht="24" customHeight="1">
      <c r="A194" s="15" t="str">
        <f t="shared" si="2"/>
        <v/>
      </c>
      <c r="B194" s="16"/>
      <c r="C194" s="13"/>
      <c r="D194" s="13"/>
      <c r="E194" s="13"/>
      <c r="F194" s="16"/>
      <c r="G194" s="13"/>
      <c r="H194" s="13"/>
      <c r="I194" s="13"/>
    </row>
    <row r="195" spans="1:9" ht="24" customHeight="1">
      <c r="A195" s="15" t="str">
        <f t="shared" si="2"/>
        <v/>
      </c>
      <c r="B195" s="16"/>
      <c r="C195" s="13"/>
      <c r="D195" s="13"/>
      <c r="E195" s="13"/>
      <c r="F195" s="16"/>
      <c r="G195" s="13"/>
      <c r="H195" s="13"/>
      <c r="I195" s="13"/>
    </row>
    <row r="196" spans="1:9" ht="24" customHeight="1">
      <c r="A196" s="15" t="str">
        <f t="shared" si="2"/>
        <v/>
      </c>
      <c r="B196" s="16"/>
      <c r="C196" s="13"/>
      <c r="D196" s="13"/>
      <c r="E196" s="13"/>
      <c r="F196" s="16"/>
      <c r="G196" s="13"/>
      <c r="H196" s="13"/>
      <c r="I196" s="13"/>
    </row>
    <row r="197" spans="1:9" ht="24" customHeight="1">
      <c r="A197" s="15" t="str">
        <f t="shared" si="2"/>
        <v/>
      </c>
      <c r="B197" s="16"/>
      <c r="C197" s="13"/>
      <c r="D197" s="13"/>
      <c r="E197" s="13"/>
      <c r="F197" s="16"/>
      <c r="G197" s="13"/>
      <c r="H197" s="13"/>
      <c r="I197" s="13"/>
    </row>
    <row r="198" spans="1:9" ht="24" customHeight="1">
      <c r="A198" s="15" t="str">
        <f t="shared" si="2"/>
        <v/>
      </c>
      <c r="B198" s="16"/>
      <c r="C198" s="13"/>
      <c r="D198" s="13"/>
      <c r="E198" s="13"/>
      <c r="F198" s="16"/>
      <c r="G198" s="13"/>
      <c r="H198" s="13"/>
      <c r="I198" s="13"/>
    </row>
    <row r="199" spans="1:9" ht="24" customHeight="1">
      <c r="A199" s="15" t="str">
        <f t="shared" si="2"/>
        <v/>
      </c>
      <c r="B199" s="16"/>
      <c r="C199" s="13"/>
      <c r="D199" s="13"/>
      <c r="E199" s="13"/>
      <c r="F199" s="16"/>
      <c r="G199" s="13"/>
      <c r="H199" s="13"/>
      <c r="I199" s="13"/>
    </row>
    <row r="200" spans="1:9" ht="24" customHeight="1">
      <c r="A200" s="15" t="str">
        <f t="shared" si="2"/>
        <v/>
      </c>
      <c r="B200" s="16"/>
      <c r="C200" s="13"/>
      <c r="D200" s="13"/>
      <c r="E200" s="13"/>
      <c r="F200" s="16"/>
      <c r="G200" s="13"/>
      <c r="H200" s="13"/>
      <c r="I200" s="13"/>
    </row>
    <row r="201" spans="1:9" ht="24" customHeight="1">
      <c r="A201" s="15" t="str">
        <f t="shared" si="2"/>
        <v/>
      </c>
      <c r="B201" s="16"/>
      <c r="C201" s="13"/>
      <c r="D201" s="13"/>
      <c r="E201" s="13"/>
      <c r="F201" s="16"/>
      <c r="G201" s="13"/>
      <c r="H201" s="13"/>
      <c r="I201" s="13"/>
    </row>
    <row r="202" spans="1:9" ht="24" customHeight="1">
      <c r="A202" s="15" t="str">
        <f t="shared" si="2"/>
        <v/>
      </c>
      <c r="B202" s="16"/>
      <c r="C202" s="13"/>
      <c r="D202" s="13"/>
      <c r="E202" s="13"/>
      <c r="F202" s="16"/>
      <c r="G202" s="13"/>
      <c r="H202" s="13"/>
      <c r="I202" s="13"/>
    </row>
    <row r="203" spans="1:9" ht="24" customHeight="1">
      <c r="A203" s="15" t="str">
        <f t="shared" si="2"/>
        <v/>
      </c>
      <c r="B203" s="16"/>
      <c r="C203" s="13"/>
      <c r="D203" s="13"/>
      <c r="E203" s="13"/>
      <c r="F203" s="16"/>
      <c r="G203" s="13"/>
      <c r="H203" s="13"/>
      <c r="I203" s="13"/>
    </row>
    <row r="204" spans="1:9" ht="24" customHeight="1">
      <c r="A204" s="15" t="str">
        <f t="shared" si="2"/>
        <v/>
      </c>
      <c r="B204" s="16"/>
      <c r="C204" s="13"/>
      <c r="D204" s="13"/>
      <c r="E204" s="13"/>
      <c r="F204" s="16"/>
      <c r="G204" s="13"/>
      <c r="H204" s="13"/>
      <c r="I204" s="13"/>
    </row>
    <row r="205" spans="1:9" ht="24" customHeight="1">
      <c r="A205" s="15" t="str">
        <f t="shared" ref="A205:A268" si="3">IF(B205="","",ROW()-12)</f>
        <v/>
      </c>
      <c r="B205" s="16"/>
      <c r="C205" s="13"/>
      <c r="D205" s="13"/>
      <c r="E205" s="13"/>
      <c r="F205" s="16"/>
      <c r="G205" s="13"/>
      <c r="H205" s="13"/>
      <c r="I205" s="13"/>
    </row>
    <row r="206" spans="1:9" ht="24" customHeight="1">
      <c r="A206" s="15" t="str">
        <f t="shared" si="3"/>
        <v/>
      </c>
      <c r="B206" s="16"/>
      <c r="C206" s="13"/>
      <c r="D206" s="13"/>
      <c r="E206" s="13"/>
      <c r="F206" s="16"/>
      <c r="G206" s="13"/>
      <c r="H206" s="13"/>
      <c r="I206" s="13"/>
    </row>
    <row r="207" spans="1:9" ht="24" customHeight="1">
      <c r="A207" s="15" t="str">
        <f t="shared" si="3"/>
        <v/>
      </c>
      <c r="B207" s="16"/>
      <c r="C207" s="13"/>
      <c r="D207" s="13"/>
      <c r="E207" s="13"/>
      <c r="F207" s="16"/>
      <c r="G207" s="13"/>
      <c r="H207" s="13"/>
      <c r="I207" s="13"/>
    </row>
    <row r="208" spans="1:9" ht="24" customHeight="1">
      <c r="A208" s="15" t="str">
        <f t="shared" si="3"/>
        <v/>
      </c>
      <c r="B208" s="16"/>
      <c r="C208" s="13"/>
      <c r="D208" s="13"/>
      <c r="E208" s="13"/>
      <c r="F208" s="16"/>
      <c r="G208" s="13"/>
      <c r="H208" s="13"/>
      <c r="I208" s="13"/>
    </row>
    <row r="209" spans="1:9" ht="24" customHeight="1">
      <c r="A209" s="15" t="str">
        <f t="shared" si="3"/>
        <v/>
      </c>
      <c r="B209" s="16"/>
      <c r="C209" s="13"/>
      <c r="D209" s="13"/>
      <c r="E209" s="13"/>
      <c r="F209" s="16"/>
      <c r="G209" s="13"/>
      <c r="H209" s="13"/>
      <c r="I209" s="13"/>
    </row>
    <row r="210" spans="1:9" ht="24" customHeight="1">
      <c r="A210" s="15" t="str">
        <f t="shared" si="3"/>
        <v/>
      </c>
      <c r="B210" s="16"/>
      <c r="C210" s="13"/>
      <c r="D210" s="13"/>
      <c r="E210" s="13"/>
      <c r="F210" s="16"/>
      <c r="G210" s="13"/>
      <c r="H210" s="13"/>
      <c r="I210" s="13"/>
    </row>
    <row r="211" spans="1:9" ht="24" customHeight="1">
      <c r="A211" s="15" t="str">
        <f t="shared" si="3"/>
        <v/>
      </c>
      <c r="B211" s="16"/>
      <c r="C211" s="13"/>
      <c r="D211" s="13"/>
      <c r="E211" s="13"/>
      <c r="F211" s="16"/>
      <c r="G211" s="13"/>
      <c r="H211" s="13"/>
      <c r="I211" s="13"/>
    </row>
    <row r="212" spans="1:9" ht="24" customHeight="1">
      <c r="A212" s="15" t="str">
        <f t="shared" si="3"/>
        <v/>
      </c>
      <c r="B212" s="16"/>
      <c r="C212" s="13"/>
      <c r="D212" s="13"/>
      <c r="E212" s="13"/>
      <c r="F212" s="16"/>
      <c r="G212" s="13"/>
      <c r="H212" s="13"/>
      <c r="I212" s="13"/>
    </row>
    <row r="213" spans="1:9" ht="24" customHeight="1">
      <c r="A213" s="15" t="str">
        <f t="shared" si="3"/>
        <v/>
      </c>
      <c r="B213" s="16"/>
      <c r="C213" s="13"/>
      <c r="D213" s="13"/>
      <c r="E213" s="13"/>
      <c r="F213" s="16"/>
      <c r="G213" s="13"/>
      <c r="H213" s="13"/>
      <c r="I213" s="13"/>
    </row>
    <row r="214" spans="1:9" ht="24" customHeight="1">
      <c r="A214" s="15" t="str">
        <f t="shared" si="3"/>
        <v/>
      </c>
      <c r="B214" s="16"/>
      <c r="C214" s="13"/>
      <c r="D214" s="13"/>
      <c r="E214" s="13"/>
      <c r="F214" s="16"/>
      <c r="G214" s="13"/>
      <c r="H214" s="13"/>
      <c r="I214" s="13"/>
    </row>
    <row r="215" spans="1:9" ht="24" customHeight="1">
      <c r="A215" s="15" t="str">
        <f t="shared" si="3"/>
        <v/>
      </c>
      <c r="B215" s="16"/>
      <c r="C215" s="13"/>
      <c r="D215" s="13"/>
      <c r="E215" s="13"/>
      <c r="F215" s="16"/>
      <c r="G215" s="13"/>
      <c r="H215" s="13"/>
      <c r="I215" s="13"/>
    </row>
    <row r="216" spans="1:9" ht="24" customHeight="1">
      <c r="A216" s="15" t="str">
        <f t="shared" si="3"/>
        <v/>
      </c>
      <c r="B216" s="16"/>
      <c r="C216" s="13"/>
      <c r="D216" s="13"/>
      <c r="E216" s="13"/>
      <c r="F216" s="16"/>
      <c r="G216" s="13"/>
      <c r="H216" s="13"/>
      <c r="I216" s="13"/>
    </row>
    <row r="217" spans="1:9" ht="24" customHeight="1">
      <c r="A217" s="15" t="str">
        <f t="shared" si="3"/>
        <v/>
      </c>
      <c r="B217" s="16"/>
      <c r="C217" s="13"/>
      <c r="D217" s="13"/>
      <c r="E217" s="13"/>
      <c r="F217" s="16"/>
      <c r="G217" s="13"/>
      <c r="H217" s="13"/>
      <c r="I217" s="13"/>
    </row>
    <row r="218" spans="1:9" ht="24" customHeight="1">
      <c r="A218" s="15" t="str">
        <f t="shared" si="3"/>
        <v/>
      </c>
      <c r="B218" s="16"/>
      <c r="C218" s="13"/>
      <c r="D218" s="13"/>
      <c r="E218" s="13"/>
      <c r="F218" s="16"/>
      <c r="G218" s="13"/>
      <c r="H218" s="13"/>
      <c r="I218" s="13"/>
    </row>
    <row r="219" spans="1:9" ht="24" customHeight="1">
      <c r="A219" s="15" t="str">
        <f t="shared" si="3"/>
        <v/>
      </c>
      <c r="B219" s="16"/>
      <c r="C219" s="13"/>
      <c r="D219" s="13"/>
      <c r="E219" s="13"/>
      <c r="F219" s="16"/>
      <c r="G219" s="13"/>
      <c r="H219" s="13"/>
      <c r="I219" s="13"/>
    </row>
    <row r="220" spans="1:9" ht="24" customHeight="1">
      <c r="A220" s="15" t="str">
        <f t="shared" si="3"/>
        <v/>
      </c>
      <c r="B220" s="16"/>
      <c r="C220" s="13"/>
      <c r="D220" s="13"/>
      <c r="E220" s="13"/>
      <c r="F220" s="16"/>
      <c r="G220" s="13"/>
      <c r="H220" s="13"/>
      <c r="I220" s="13"/>
    </row>
    <row r="221" spans="1:9" ht="24" customHeight="1">
      <c r="A221" s="15" t="str">
        <f t="shared" si="3"/>
        <v/>
      </c>
      <c r="B221" s="16"/>
      <c r="C221" s="13"/>
      <c r="D221" s="13"/>
      <c r="E221" s="13"/>
      <c r="F221" s="16"/>
      <c r="G221" s="13"/>
      <c r="H221" s="13"/>
      <c r="I221" s="13"/>
    </row>
    <row r="222" spans="1:9" ht="24" customHeight="1">
      <c r="A222" s="15" t="str">
        <f t="shared" si="3"/>
        <v/>
      </c>
      <c r="B222" s="16"/>
      <c r="C222" s="13"/>
      <c r="D222" s="13"/>
      <c r="E222" s="13"/>
      <c r="F222" s="16"/>
      <c r="G222" s="13"/>
      <c r="H222" s="13"/>
      <c r="I222" s="13"/>
    </row>
    <row r="223" spans="1:9" ht="24" customHeight="1">
      <c r="A223" s="15" t="str">
        <f t="shared" si="3"/>
        <v/>
      </c>
      <c r="B223" s="16"/>
      <c r="C223" s="13"/>
      <c r="D223" s="13"/>
      <c r="E223" s="13"/>
      <c r="F223" s="16"/>
      <c r="G223" s="13"/>
      <c r="H223" s="13"/>
      <c r="I223" s="13"/>
    </row>
    <row r="224" spans="1:9" ht="24" customHeight="1">
      <c r="A224" s="15" t="str">
        <f t="shared" si="3"/>
        <v/>
      </c>
      <c r="B224" s="16"/>
      <c r="C224" s="13"/>
      <c r="D224" s="13"/>
      <c r="E224" s="13"/>
      <c r="F224" s="16"/>
      <c r="G224" s="13"/>
      <c r="H224" s="13"/>
      <c r="I224" s="13"/>
    </row>
    <row r="225" spans="1:9" ht="24" customHeight="1">
      <c r="A225" s="15" t="str">
        <f t="shared" si="3"/>
        <v/>
      </c>
      <c r="B225" s="16"/>
      <c r="C225" s="13"/>
      <c r="D225" s="13"/>
      <c r="E225" s="13"/>
      <c r="F225" s="16"/>
      <c r="G225" s="13"/>
      <c r="H225" s="13"/>
      <c r="I225" s="13"/>
    </row>
    <row r="226" spans="1:9" ht="24" customHeight="1">
      <c r="A226" s="15" t="str">
        <f t="shared" si="3"/>
        <v/>
      </c>
      <c r="B226" s="16"/>
      <c r="C226" s="13"/>
      <c r="D226" s="13"/>
      <c r="E226" s="13"/>
      <c r="F226" s="16"/>
      <c r="G226" s="13"/>
      <c r="H226" s="13"/>
      <c r="I226" s="13"/>
    </row>
    <row r="227" spans="1:9" ht="24" customHeight="1">
      <c r="A227" s="15" t="str">
        <f t="shared" si="3"/>
        <v/>
      </c>
      <c r="B227" s="16"/>
      <c r="C227" s="13"/>
      <c r="D227" s="13"/>
      <c r="E227" s="13"/>
      <c r="F227" s="16"/>
      <c r="G227" s="13"/>
      <c r="H227" s="13"/>
      <c r="I227" s="13"/>
    </row>
    <row r="228" spans="1:9" ht="24" customHeight="1">
      <c r="A228" s="15" t="str">
        <f t="shared" si="3"/>
        <v/>
      </c>
      <c r="B228" s="16"/>
      <c r="C228" s="13"/>
      <c r="D228" s="13"/>
      <c r="E228" s="13"/>
      <c r="F228" s="16"/>
      <c r="G228" s="13"/>
      <c r="H228" s="13"/>
      <c r="I228" s="13"/>
    </row>
    <row r="229" spans="1:9" ht="24" customHeight="1">
      <c r="A229" s="15" t="str">
        <f t="shared" si="3"/>
        <v/>
      </c>
      <c r="B229" s="16"/>
      <c r="C229" s="13"/>
      <c r="D229" s="13"/>
      <c r="E229" s="13"/>
      <c r="F229" s="16"/>
      <c r="G229" s="13"/>
      <c r="H229" s="13"/>
      <c r="I229" s="13"/>
    </row>
    <row r="230" spans="1:9" ht="24" customHeight="1">
      <c r="A230" s="15" t="str">
        <f t="shared" si="3"/>
        <v/>
      </c>
      <c r="B230" s="16"/>
      <c r="C230" s="13"/>
      <c r="D230" s="13"/>
      <c r="E230" s="13"/>
      <c r="F230" s="16"/>
      <c r="G230" s="13"/>
      <c r="H230" s="13"/>
      <c r="I230" s="13"/>
    </row>
    <row r="231" spans="1:9" ht="24" customHeight="1">
      <c r="A231" s="15" t="str">
        <f t="shared" si="3"/>
        <v/>
      </c>
      <c r="B231" s="16"/>
      <c r="C231" s="13"/>
      <c r="D231" s="13"/>
      <c r="E231" s="13"/>
      <c r="F231" s="16"/>
      <c r="G231" s="13"/>
      <c r="H231" s="13"/>
      <c r="I231" s="13"/>
    </row>
    <row r="232" spans="1:9" ht="24" customHeight="1">
      <c r="A232" s="15" t="str">
        <f t="shared" si="3"/>
        <v/>
      </c>
      <c r="B232" s="16"/>
      <c r="C232" s="13"/>
      <c r="D232" s="13"/>
      <c r="E232" s="13"/>
      <c r="F232" s="16"/>
      <c r="G232" s="13"/>
      <c r="H232" s="13"/>
      <c r="I232" s="13"/>
    </row>
    <row r="233" spans="1:9" ht="24" customHeight="1">
      <c r="A233" s="15" t="str">
        <f t="shared" si="3"/>
        <v/>
      </c>
      <c r="B233" s="16"/>
      <c r="C233" s="13"/>
      <c r="D233" s="13"/>
      <c r="E233" s="13"/>
      <c r="F233" s="16"/>
      <c r="G233" s="13"/>
      <c r="H233" s="13"/>
      <c r="I233" s="13"/>
    </row>
    <row r="234" spans="1:9" ht="24" customHeight="1">
      <c r="A234" s="15" t="str">
        <f t="shared" si="3"/>
        <v/>
      </c>
      <c r="B234" s="16"/>
      <c r="C234" s="13"/>
      <c r="D234" s="13"/>
      <c r="E234" s="13"/>
      <c r="F234" s="16"/>
      <c r="G234" s="13"/>
      <c r="H234" s="13"/>
      <c r="I234" s="13"/>
    </row>
    <row r="235" spans="1:9" ht="24" customHeight="1">
      <c r="A235" s="15" t="str">
        <f t="shared" si="3"/>
        <v/>
      </c>
      <c r="B235" s="16"/>
      <c r="C235" s="13"/>
      <c r="D235" s="13"/>
      <c r="E235" s="13"/>
      <c r="F235" s="16"/>
      <c r="G235" s="13"/>
      <c r="H235" s="13"/>
      <c r="I235" s="13"/>
    </row>
    <row r="236" spans="1:9" ht="24" customHeight="1">
      <c r="A236" s="15" t="str">
        <f t="shared" si="3"/>
        <v/>
      </c>
      <c r="B236" s="16"/>
      <c r="C236" s="13"/>
      <c r="D236" s="13"/>
      <c r="E236" s="13"/>
      <c r="F236" s="16"/>
      <c r="G236" s="13"/>
      <c r="H236" s="13"/>
      <c r="I236" s="13"/>
    </row>
    <row r="237" spans="1:9" ht="24" customHeight="1">
      <c r="A237" s="15" t="str">
        <f t="shared" si="3"/>
        <v/>
      </c>
      <c r="B237" s="16"/>
      <c r="C237" s="13"/>
      <c r="D237" s="13"/>
      <c r="E237" s="13"/>
      <c r="F237" s="16"/>
      <c r="G237" s="13"/>
      <c r="H237" s="13"/>
      <c r="I237" s="13"/>
    </row>
    <row r="238" spans="1:9" ht="24" customHeight="1">
      <c r="A238" s="15" t="str">
        <f t="shared" si="3"/>
        <v/>
      </c>
      <c r="B238" s="16"/>
      <c r="C238" s="13"/>
      <c r="D238" s="13"/>
      <c r="E238" s="13"/>
      <c r="F238" s="16"/>
      <c r="G238" s="13"/>
      <c r="H238" s="13"/>
      <c r="I238" s="13"/>
    </row>
    <row r="239" spans="1:9" ht="24" customHeight="1">
      <c r="A239" s="15" t="str">
        <f t="shared" si="3"/>
        <v/>
      </c>
      <c r="B239" s="16"/>
      <c r="C239" s="13"/>
      <c r="D239" s="13"/>
      <c r="E239" s="13"/>
      <c r="F239" s="16"/>
      <c r="G239" s="13"/>
      <c r="H239" s="13"/>
      <c r="I239" s="13"/>
    </row>
    <row r="240" spans="1:9" ht="24" customHeight="1">
      <c r="A240" s="15" t="str">
        <f t="shared" si="3"/>
        <v/>
      </c>
      <c r="B240" s="16"/>
      <c r="C240" s="13"/>
      <c r="D240" s="13"/>
      <c r="E240" s="13"/>
      <c r="F240" s="16"/>
      <c r="G240" s="13"/>
      <c r="H240" s="13"/>
      <c r="I240" s="13"/>
    </row>
    <row r="241" spans="1:9" ht="24" customHeight="1">
      <c r="A241" s="15" t="str">
        <f t="shared" si="3"/>
        <v/>
      </c>
      <c r="B241" s="16"/>
      <c r="C241" s="13"/>
      <c r="D241" s="13"/>
      <c r="E241" s="13"/>
      <c r="F241" s="16"/>
      <c r="G241" s="13"/>
      <c r="H241" s="13"/>
      <c r="I241" s="13"/>
    </row>
    <row r="242" spans="1:9" ht="24" customHeight="1">
      <c r="A242" s="15" t="str">
        <f t="shared" si="3"/>
        <v/>
      </c>
      <c r="B242" s="16"/>
      <c r="C242" s="13"/>
      <c r="D242" s="13"/>
      <c r="E242" s="13"/>
      <c r="F242" s="16"/>
      <c r="G242" s="13"/>
      <c r="H242" s="13"/>
      <c r="I242" s="13"/>
    </row>
    <row r="243" spans="1:9" ht="24" customHeight="1">
      <c r="A243" s="15" t="str">
        <f t="shared" si="3"/>
        <v/>
      </c>
      <c r="B243" s="16"/>
      <c r="C243" s="13"/>
      <c r="D243" s="13"/>
      <c r="E243" s="13"/>
      <c r="F243" s="16"/>
      <c r="G243" s="13"/>
      <c r="H243" s="13"/>
      <c r="I243" s="13"/>
    </row>
    <row r="244" spans="1:9" ht="24" customHeight="1">
      <c r="A244" s="15" t="str">
        <f t="shared" si="3"/>
        <v/>
      </c>
      <c r="B244" s="16"/>
      <c r="C244" s="13"/>
      <c r="D244" s="13"/>
      <c r="E244" s="13"/>
      <c r="F244" s="16"/>
      <c r="G244" s="13"/>
      <c r="H244" s="13"/>
      <c r="I244" s="13"/>
    </row>
    <row r="245" spans="1:9" ht="24" customHeight="1">
      <c r="A245" s="15" t="str">
        <f t="shared" si="3"/>
        <v/>
      </c>
      <c r="B245" s="16"/>
      <c r="C245" s="13"/>
      <c r="D245" s="13"/>
      <c r="E245" s="13"/>
      <c r="F245" s="16"/>
      <c r="G245" s="13"/>
      <c r="H245" s="13"/>
      <c r="I245" s="13"/>
    </row>
    <row r="246" spans="1:9" ht="24" customHeight="1">
      <c r="A246" s="15" t="str">
        <f t="shared" si="3"/>
        <v/>
      </c>
      <c r="B246" s="16"/>
      <c r="C246" s="13"/>
      <c r="D246" s="13"/>
      <c r="E246" s="13"/>
      <c r="F246" s="16"/>
      <c r="G246" s="13"/>
      <c r="H246" s="13"/>
      <c r="I246" s="13"/>
    </row>
    <row r="247" spans="1:9" ht="24" customHeight="1">
      <c r="A247" s="15" t="str">
        <f t="shared" si="3"/>
        <v/>
      </c>
      <c r="B247" s="16"/>
      <c r="C247" s="13"/>
      <c r="D247" s="13"/>
      <c r="E247" s="13"/>
      <c r="F247" s="16"/>
      <c r="G247" s="13"/>
      <c r="H247" s="13"/>
      <c r="I247" s="13"/>
    </row>
    <row r="248" spans="1:9" ht="24" customHeight="1">
      <c r="A248" s="15" t="str">
        <f t="shared" si="3"/>
        <v/>
      </c>
      <c r="B248" s="16"/>
      <c r="C248" s="13"/>
      <c r="D248" s="13"/>
      <c r="E248" s="13"/>
      <c r="F248" s="16"/>
      <c r="G248" s="13"/>
      <c r="H248" s="13"/>
      <c r="I248" s="13"/>
    </row>
    <row r="249" spans="1:9" ht="24" customHeight="1">
      <c r="A249" s="15" t="str">
        <f t="shared" si="3"/>
        <v/>
      </c>
      <c r="B249" s="16"/>
      <c r="C249" s="13"/>
      <c r="D249" s="13"/>
      <c r="E249" s="13"/>
      <c r="F249" s="16"/>
      <c r="G249" s="13"/>
      <c r="H249" s="13"/>
      <c r="I249" s="13"/>
    </row>
    <row r="250" spans="1:9" ht="24" customHeight="1">
      <c r="A250" s="15" t="str">
        <f t="shared" si="3"/>
        <v/>
      </c>
      <c r="B250" s="16"/>
      <c r="C250" s="13"/>
      <c r="D250" s="13"/>
      <c r="E250" s="13"/>
      <c r="F250" s="16"/>
      <c r="G250" s="13"/>
      <c r="H250" s="13"/>
      <c r="I250" s="13"/>
    </row>
    <row r="251" spans="1:9" ht="24" customHeight="1">
      <c r="A251" s="15" t="str">
        <f t="shared" si="3"/>
        <v/>
      </c>
      <c r="B251" s="16"/>
      <c r="C251" s="13"/>
      <c r="D251" s="13"/>
      <c r="E251" s="13"/>
      <c r="F251" s="16"/>
      <c r="G251" s="13"/>
      <c r="H251" s="13"/>
      <c r="I251" s="13"/>
    </row>
    <row r="252" spans="1:9" ht="24" customHeight="1">
      <c r="A252" s="15" t="str">
        <f t="shared" si="3"/>
        <v/>
      </c>
      <c r="B252" s="16"/>
      <c r="C252" s="13"/>
      <c r="D252" s="13"/>
      <c r="E252" s="13"/>
      <c r="F252" s="16"/>
      <c r="G252" s="13"/>
      <c r="H252" s="13"/>
      <c r="I252" s="13"/>
    </row>
    <row r="253" spans="1:9" ht="24" customHeight="1">
      <c r="A253" s="15" t="str">
        <f t="shared" si="3"/>
        <v/>
      </c>
      <c r="B253" s="16"/>
      <c r="C253" s="13"/>
      <c r="D253" s="13"/>
      <c r="E253" s="13"/>
      <c r="F253" s="16"/>
      <c r="G253" s="13"/>
      <c r="H253" s="13"/>
      <c r="I253" s="13"/>
    </row>
    <row r="254" spans="1:9" ht="24" customHeight="1">
      <c r="A254" s="15" t="str">
        <f t="shared" si="3"/>
        <v/>
      </c>
      <c r="B254" s="16"/>
      <c r="C254" s="13"/>
      <c r="D254" s="13"/>
      <c r="E254" s="13"/>
      <c r="F254" s="16"/>
      <c r="G254" s="13"/>
      <c r="H254" s="13"/>
      <c r="I254" s="13"/>
    </row>
    <row r="255" spans="1:9" ht="24" customHeight="1">
      <c r="A255" s="15" t="str">
        <f t="shared" si="3"/>
        <v/>
      </c>
      <c r="B255" s="16"/>
      <c r="C255" s="13"/>
      <c r="D255" s="13"/>
      <c r="E255" s="13"/>
      <c r="F255" s="16"/>
      <c r="G255" s="13"/>
      <c r="H255" s="13"/>
      <c r="I255" s="13"/>
    </row>
    <row r="256" spans="1:9" ht="24" customHeight="1">
      <c r="A256" s="15" t="str">
        <f t="shared" si="3"/>
        <v/>
      </c>
      <c r="B256" s="16"/>
      <c r="C256" s="13"/>
      <c r="D256" s="13"/>
      <c r="E256" s="13"/>
      <c r="F256" s="16"/>
      <c r="G256" s="13"/>
      <c r="H256" s="13"/>
      <c r="I256" s="13"/>
    </row>
    <row r="257" spans="1:9" ht="24" customHeight="1">
      <c r="A257" s="15" t="str">
        <f t="shared" si="3"/>
        <v/>
      </c>
      <c r="B257" s="16"/>
      <c r="C257" s="13"/>
      <c r="D257" s="13"/>
      <c r="E257" s="13"/>
      <c r="F257" s="16"/>
      <c r="G257" s="13"/>
      <c r="H257" s="13"/>
      <c r="I257" s="13"/>
    </row>
    <row r="258" spans="1:9" ht="24" customHeight="1">
      <c r="A258" s="15" t="str">
        <f t="shared" si="3"/>
        <v/>
      </c>
      <c r="B258" s="16"/>
      <c r="C258" s="13"/>
      <c r="D258" s="13"/>
      <c r="E258" s="13"/>
      <c r="F258" s="16"/>
      <c r="G258" s="13"/>
      <c r="H258" s="13"/>
      <c r="I258" s="13"/>
    </row>
    <row r="259" spans="1:9" ht="24" customHeight="1">
      <c r="A259" s="15" t="str">
        <f t="shared" si="3"/>
        <v/>
      </c>
      <c r="B259" s="16"/>
      <c r="C259" s="13"/>
      <c r="D259" s="13"/>
      <c r="E259" s="13"/>
      <c r="F259" s="16"/>
      <c r="G259" s="13"/>
      <c r="H259" s="13"/>
      <c r="I259" s="13"/>
    </row>
    <row r="260" spans="1:9" ht="24" customHeight="1">
      <c r="A260" s="15" t="str">
        <f t="shared" si="3"/>
        <v/>
      </c>
      <c r="B260" s="16"/>
      <c r="C260" s="13"/>
      <c r="D260" s="13"/>
      <c r="E260" s="13"/>
      <c r="F260" s="16"/>
      <c r="G260" s="13"/>
      <c r="H260" s="13"/>
      <c r="I260" s="13"/>
    </row>
    <row r="261" spans="1:9" ht="24" customHeight="1">
      <c r="A261" s="15" t="str">
        <f t="shared" si="3"/>
        <v/>
      </c>
      <c r="B261" s="16"/>
      <c r="C261" s="13"/>
      <c r="D261" s="13"/>
      <c r="E261" s="13"/>
      <c r="F261" s="16"/>
      <c r="G261" s="13"/>
      <c r="H261" s="13"/>
      <c r="I261" s="13"/>
    </row>
    <row r="262" spans="1:9" ht="24" customHeight="1">
      <c r="A262" s="15" t="str">
        <f t="shared" si="3"/>
        <v/>
      </c>
      <c r="B262" s="16"/>
      <c r="C262" s="13"/>
      <c r="D262" s="13"/>
      <c r="E262" s="13"/>
      <c r="F262" s="16"/>
      <c r="G262" s="13"/>
      <c r="H262" s="13"/>
      <c r="I262" s="13"/>
    </row>
    <row r="263" spans="1:9" ht="24" customHeight="1">
      <c r="A263" s="15" t="str">
        <f t="shared" si="3"/>
        <v/>
      </c>
      <c r="B263" s="16"/>
      <c r="C263" s="13"/>
      <c r="D263" s="13"/>
      <c r="E263" s="13"/>
      <c r="F263" s="16"/>
      <c r="G263" s="13"/>
      <c r="H263" s="13"/>
      <c r="I263" s="13"/>
    </row>
    <row r="264" spans="1:9" ht="24" customHeight="1">
      <c r="A264" s="15" t="str">
        <f t="shared" si="3"/>
        <v/>
      </c>
      <c r="B264" s="16"/>
      <c r="C264" s="13"/>
      <c r="D264" s="13"/>
      <c r="E264" s="13"/>
      <c r="F264" s="16"/>
      <c r="G264" s="13"/>
      <c r="H264" s="13"/>
      <c r="I264" s="13"/>
    </row>
    <row r="265" spans="1:9" ht="24" customHeight="1">
      <c r="A265" s="15" t="str">
        <f t="shared" si="3"/>
        <v/>
      </c>
      <c r="B265" s="16"/>
      <c r="C265" s="13"/>
      <c r="D265" s="13"/>
      <c r="E265" s="13"/>
      <c r="F265" s="16"/>
      <c r="G265" s="13"/>
      <c r="H265" s="13"/>
      <c r="I265" s="13"/>
    </row>
    <row r="266" spans="1:9" ht="24" customHeight="1">
      <c r="A266" s="15" t="str">
        <f t="shared" si="3"/>
        <v/>
      </c>
      <c r="B266" s="16"/>
      <c r="C266" s="13"/>
      <c r="D266" s="13"/>
      <c r="E266" s="13"/>
      <c r="F266" s="16"/>
      <c r="G266" s="13"/>
      <c r="H266" s="13"/>
      <c r="I266" s="13"/>
    </row>
    <row r="267" spans="1:9" ht="24" customHeight="1">
      <c r="A267" s="15" t="str">
        <f t="shared" si="3"/>
        <v/>
      </c>
      <c r="B267" s="16"/>
      <c r="C267" s="13"/>
      <c r="D267" s="13"/>
      <c r="E267" s="13"/>
      <c r="F267" s="16"/>
      <c r="G267" s="13"/>
      <c r="H267" s="13"/>
      <c r="I267" s="13"/>
    </row>
    <row r="268" spans="1:9" ht="24" customHeight="1">
      <c r="A268" s="15" t="str">
        <f t="shared" si="3"/>
        <v/>
      </c>
      <c r="B268" s="16"/>
      <c r="C268" s="13"/>
      <c r="D268" s="13"/>
      <c r="E268" s="13"/>
      <c r="F268" s="16"/>
      <c r="G268" s="13"/>
      <c r="H268" s="13"/>
      <c r="I268" s="13"/>
    </row>
    <row r="269" spans="1:9" ht="24" customHeight="1">
      <c r="A269" s="15" t="str">
        <f t="shared" ref="A269:A332" si="4">IF(B269="","",ROW()-12)</f>
        <v/>
      </c>
      <c r="B269" s="16"/>
      <c r="C269" s="13"/>
      <c r="D269" s="13"/>
      <c r="E269" s="13"/>
      <c r="F269" s="16"/>
      <c r="G269" s="13"/>
      <c r="H269" s="13"/>
      <c r="I269" s="13"/>
    </row>
    <row r="270" spans="1:9" ht="24" customHeight="1">
      <c r="A270" s="15" t="str">
        <f t="shared" si="4"/>
        <v/>
      </c>
      <c r="B270" s="16"/>
      <c r="C270" s="13"/>
      <c r="D270" s="13"/>
      <c r="E270" s="13"/>
      <c r="F270" s="16"/>
      <c r="G270" s="13"/>
      <c r="H270" s="13"/>
      <c r="I270" s="13"/>
    </row>
    <row r="271" spans="1:9" ht="24" customHeight="1">
      <c r="A271" s="15" t="str">
        <f t="shared" si="4"/>
        <v/>
      </c>
      <c r="B271" s="16"/>
      <c r="C271" s="13"/>
      <c r="D271" s="13"/>
      <c r="E271" s="13"/>
      <c r="F271" s="16"/>
      <c r="G271" s="13"/>
      <c r="H271" s="13"/>
      <c r="I271" s="13"/>
    </row>
    <row r="272" spans="1:9" ht="24" customHeight="1">
      <c r="A272" s="15" t="str">
        <f t="shared" si="4"/>
        <v/>
      </c>
      <c r="B272" s="16"/>
      <c r="C272" s="13"/>
      <c r="D272" s="13"/>
      <c r="E272" s="13"/>
      <c r="F272" s="16"/>
      <c r="G272" s="13"/>
      <c r="H272" s="13"/>
      <c r="I272" s="13"/>
    </row>
    <row r="273" spans="1:9" ht="24" customHeight="1">
      <c r="A273" s="15" t="str">
        <f t="shared" si="4"/>
        <v/>
      </c>
      <c r="B273" s="16"/>
      <c r="C273" s="13"/>
      <c r="D273" s="13"/>
      <c r="E273" s="13"/>
      <c r="F273" s="16"/>
      <c r="G273" s="13"/>
      <c r="H273" s="13"/>
      <c r="I273" s="13"/>
    </row>
    <row r="274" spans="1:9" ht="24" customHeight="1">
      <c r="A274" s="15" t="str">
        <f t="shared" si="4"/>
        <v/>
      </c>
      <c r="B274" s="16"/>
      <c r="C274" s="13"/>
      <c r="D274" s="13"/>
      <c r="E274" s="13"/>
      <c r="F274" s="16"/>
      <c r="G274" s="13"/>
      <c r="H274" s="13"/>
      <c r="I274" s="13"/>
    </row>
    <row r="275" spans="1:9" ht="24" customHeight="1">
      <c r="A275" s="15" t="str">
        <f t="shared" si="4"/>
        <v/>
      </c>
      <c r="B275" s="16"/>
      <c r="C275" s="13"/>
      <c r="D275" s="13"/>
      <c r="E275" s="13"/>
      <c r="F275" s="16"/>
      <c r="G275" s="13"/>
      <c r="H275" s="13"/>
      <c r="I275" s="13"/>
    </row>
    <row r="276" spans="1:9" ht="24" customHeight="1">
      <c r="A276" s="15" t="str">
        <f t="shared" si="4"/>
        <v/>
      </c>
      <c r="B276" s="16"/>
      <c r="C276" s="13"/>
      <c r="D276" s="13"/>
      <c r="E276" s="13"/>
      <c r="F276" s="16"/>
      <c r="G276" s="13"/>
      <c r="H276" s="13"/>
      <c r="I276" s="13"/>
    </row>
    <row r="277" spans="1:9" ht="24" customHeight="1">
      <c r="A277" s="15" t="str">
        <f t="shared" si="4"/>
        <v/>
      </c>
      <c r="B277" s="16"/>
      <c r="C277" s="13"/>
      <c r="D277" s="13"/>
      <c r="E277" s="13"/>
      <c r="F277" s="16"/>
      <c r="G277" s="13"/>
      <c r="H277" s="13"/>
      <c r="I277" s="13"/>
    </row>
    <row r="278" spans="1:9" ht="24" customHeight="1">
      <c r="A278" s="15" t="str">
        <f t="shared" si="4"/>
        <v/>
      </c>
      <c r="B278" s="16"/>
      <c r="C278" s="13"/>
      <c r="D278" s="13"/>
      <c r="E278" s="13"/>
      <c r="F278" s="16"/>
      <c r="G278" s="13"/>
      <c r="H278" s="13"/>
      <c r="I278" s="13"/>
    </row>
    <row r="279" spans="1:9" ht="24" customHeight="1">
      <c r="A279" s="15" t="str">
        <f t="shared" si="4"/>
        <v/>
      </c>
      <c r="B279" s="16"/>
      <c r="C279" s="13"/>
      <c r="D279" s="13"/>
      <c r="E279" s="13"/>
      <c r="F279" s="16"/>
      <c r="G279" s="13"/>
      <c r="H279" s="13"/>
      <c r="I279" s="13"/>
    </row>
    <row r="280" spans="1:9" ht="24" customHeight="1">
      <c r="A280" s="15" t="str">
        <f t="shared" si="4"/>
        <v/>
      </c>
      <c r="B280" s="16"/>
      <c r="C280" s="13"/>
      <c r="D280" s="13"/>
      <c r="E280" s="13"/>
      <c r="F280" s="16"/>
      <c r="G280" s="13"/>
      <c r="H280" s="13"/>
      <c r="I280" s="13"/>
    </row>
    <row r="281" spans="1:9" ht="24" customHeight="1">
      <c r="A281" s="15" t="str">
        <f t="shared" si="4"/>
        <v/>
      </c>
      <c r="B281" s="16"/>
      <c r="C281" s="13"/>
      <c r="D281" s="13"/>
      <c r="E281" s="13"/>
      <c r="F281" s="16"/>
      <c r="G281" s="13"/>
      <c r="H281" s="13"/>
      <c r="I281" s="13"/>
    </row>
    <row r="282" spans="1:9" ht="24" customHeight="1">
      <c r="A282" s="15" t="str">
        <f t="shared" si="4"/>
        <v/>
      </c>
      <c r="B282" s="16"/>
      <c r="C282" s="13"/>
      <c r="D282" s="13"/>
      <c r="E282" s="13"/>
      <c r="F282" s="16"/>
      <c r="G282" s="13"/>
      <c r="H282" s="13"/>
      <c r="I282" s="13"/>
    </row>
    <row r="283" spans="1:9" ht="24" customHeight="1">
      <c r="A283" s="15" t="str">
        <f t="shared" si="4"/>
        <v/>
      </c>
      <c r="B283" s="16"/>
      <c r="C283" s="13"/>
      <c r="D283" s="13"/>
      <c r="E283" s="13"/>
      <c r="F283" s="16"/>
      <c r="G283" s="13"/>
      <c r="H283" s="13"/>
      <c r="I283" s="13"/>
    </row>
    <row r="284" spans="1:9" ht="24" customHeight="1">
      <c r="A284" s="15" t="str">
        <f t="shared" si="4"/>
        <v/>
      </c>
      <c r="B284" s="16"/>
      <c r="C284" s="13"/>
      <c r="D284" s="13"/>
      <c r="E284" s="13"/>
      <c r="F284" s="16"/>
      <c r="G284" s="13"/>
      <c r="H284" s="13"/>
      <c r="I284" s="13"/>
    </row>
    <row r="285" spans="1:9" ht="24" customHeight="1">
      <c r="A285" s="15" t="str">
        <f t="shared" si="4"/>
        <v/>
      </c>
      <c r="B285" s="16"/>
      <c r="C285" s="13"/>
      <c r="D285" s="13"/>
      <c r="E285" s="13"/>
      <c r="F285" s="16"/>
      <c r="G285" s="13"/>
      <c r="H285" s="13"/>
      <c r="I285" s="13"/>
    </row>
    <row r="286" spans="1:9" ht="24" customHeight="1">
      <c r="A286" s="15" t="str">
        <f t="shared" si="4"/>
        <v/>
      </c>
      <c r="B286" s="16"/>
      <c r="C286" s="13"/>
      <c r="D286" s="13"/>
      <c r="E286" s="13"/>
      <c r="F286" s="16"/>
      <c r="G286" s="13"/>
      <c r="H286" s="13"/>
      <c r="I286" s="13"/>
    </row>
    <row r="287" spans="1:9" ht="24" customHeight="1">
      <c r="A287" s="15" t="str">
        <f t="shared" si="4"/>
        <v/>
      </c>
      <c r="B287" s="16"/>
      <c r="C287" s="13"/>
      <c r="D287" s="13"/>
      <c r="E287" s="13"/>
      <c r="F287" s="16"/>
      <c r="G287" s="13"/>
      <c r="H287" s="13"/>
      <c r="I287" s="13"/>
    </row>
    <row r="288" spans="1:9" ht="24" customHeight="1">
      <c r="A288" s="15" t="str">
        <f t="shared" si="4"/>
        <v/>
      </c>
      <c r="B288" s="16"/>
      <c r="C288" s="13"/>
      <c r="D288" s="13"/>
      <c r="E288" s="13"/>
      <c r="F288" s="16"/>
      <c r="G288" s="13"/>
      <c r="H288" s="13"/>
      <c r="I288" s="13"/>
    </row>
    <row r="289" spans="1:9" ht="24" customHeight="1">
      <c r="A289" s="15" t="str">
        <f t="shared" si="4"/>
        <v/>
      </c>
      <c r="B289" s="16"/>
      <c r="C289" s="13"/>
      <c r="D289" s="13"/>
      <c r="E289" s="13"/>
      <c r="F289" s="16"/>
      <c r="G289" s="13"/>
      <c r="H289" s="13"/>
      <c r="I289" s="13"/>
    </row>
    <row r="290" spans="1:9" ht="24" customHeight="1">
      <c r="A290" s="15" t="str">
        <f t="shared" si="4"/>
        <v/>
      </c>
      <c r="B290" s="16"/>
      <c r="C290" s="13"/>
      <c r="D290" s="13"/>
      <c r="E290" s="13"/>
      <c r="F290" s="16"/>
      <c r="G290" s="13"/>
      <c r="H290" s="13"/>
      <c r="I290" s="13"/>
    </row>
    <row r="291" spans="1:9" ht="24" customHeight="1">
      <c r="A291" s="15" t="str">
        <f t="shared" si="4"/>
        <v/>
      </c>
      <c r="B291" s="16"/>
      <c r="C291" s="13"/>
      <c r="D291" s="13"/>
      <c r="E291" s="13"/>
      <c r="F291" s="16"/>
      <c r="G291" s="13"/>
      <c r="H291" s="13"/>
      <c r="I291" s="13"/>
    </row>
    <row r="292" spans="1:9" ht="24" customHeight="1">
      <c r="A292" s="15" t="str">
        <f t="shared" si="4"/>
        <v/>
      </c>
      <c r="B292" s="16"/>
      <c r="C292" s="13"/>
      <c r="D292" s="13"/>
      <c r="E292" s="13"/>
      <c r="F292" s="16"/>
      <c r="G292" s="13"/>
      <c r="H292" s="13"/>
      <c r="I292" s="13"/>
    </row>
    <row r="293" spans="1:9" ht="24" customHeight="1">
      <c r="A293" s="15" t="str">
        <f t="shared" si="4"/>
        <v/>
      </c>
      <c r="B293" s="16"/>
      <c r="C293" s="13"/>
      <c r="D293" s="13"/>
      <c r="E293" s="13"/>
      <c r="F293" s="16"/>
      <c r="G293" s="13"/>
      <c r="H293" s="13"/>
      <c r="I293" s="13"/>
    </row>
    <row r="294" spans="1:9" ht="24" customHeight="1">
      <c r="A294" s="15" t="str">
        <f t="shared" si="4"/>
        <v/>
      </c>
      <c r="B294" s="16"/>
      <c r="C294" s="13"/>
      <c r="D294" s="13"/>
      <c r="E294" s="13"/>
      <c r="F294" s="16"/>
      <c r="G294" s="13"/>
      <c r="H294" s="13"/>
      <c r="I294" s="13"/>
    </row>
    <row r="295" spans="1:9" ht="24" customHeight="1">
      <c r="A295" s="15" t="str">
        <f t="shared" si="4"/>
        <v/>
      </c>
      <c r="B295" s="16"/>
      <c r="C295" s="13"/>
      <c r="D295" s="13"/>
      <c r="E295" s="13"/>
      <c r="F295" s="16"/>
      <c r="G295" s="13"/>
      <c r="H295" s="13"/>
      <c r="I295" s="13"/>
    </row>
    <row r="296" spans="1:9" ht="24" customHeight="1">
      <c r="A296" s="15" t="str">
        <f t="shared" si="4"/>
        <v/>
      </c>
      <c r="B296" s="16"/>
      <c r="C296" s="13"/>
      <c r="D296" s="13"/>
      <c r="E296" s="13"/>
      <c r="F296" s="16"/>
      <c r="G296" s="13"/>
      <c r="H296" s="13"/>
      <c r="I296" s="13"/>
    </row>
    <row r="297" spans="1:9" ht="24" customHeight="1">
      <c r="A297" s="15" t="str">
        <f t="shared" si="4"/>
        <v/>
      </c>
      <c r="B297" s="16"/>
      <c r="C297" s="13"/>
      <c r="D297" s="13"/>
      <c r="E297" s="13"/>
      <c r="F297" s="16"/>
      <c r="G297" s="13"/>
      <c r="H297" s="13"/>
      <c r="I297" s="13"/>
    </row>
    <row r="298" spans="1:9" ht="24" customHeight="1">
      <c r="A298" s="15" t="str">
        <f t="shared" si="4"/>
        <v/>
      </c>
      <c r="B298" s="16"/>
      <c r="C298" s="13"/>
      <c r="D298" s="13"/>
      <c r="E298" s="13"/>
      <c r="F298" s="16"/>
      <c r="G298" s="13"/>
      <c r="H298" s="13"/>
      <c r="I298" s="13"/>
    </row>
    <row r="299" spans="1:9" ht="24" customHeight="1">
      <c r="A299" s="15" t="str">
        <f t="shared" si="4"/>
        <v/>
      </c>
      <c r="B299" s="16"/>
      <c r="C299" s="13"/>
      <c r="D299" s="13"/>
      <c r="E299" s="13"/>
      <c r="F299" s="16"/>
      <c r="G299" s="13"/>
      <c r="H299" s="13"/>
      <c r="I299" s="13"/>
    </row>
    <row r="300" spans="1:9" ht="24" customHeight="1">
      <c r="A300" s="15" t="str">
        <f t="shared" si="4"/>
        <v/>
      </c>
      <c r="B300" s="16"/>
      <c r="C300" s="13"/>
      <c r="D300" s="13"/>
      <c r="E300" s="13"/>
      <c r="F300" s="16"/>
      <c r="G300" s="13"/>
      <c r="H300" s="13"/>
      <c r="I300" s="13"/>
    </row>
    <row r="301" spans="1:9" ht="24" customHeight="1">
      <c r="A301" s="15" t="str">
        <f t="shared" si="4"/>
        <v/>
      </c>
      <c r="B301" s="16"/>
      <c r="C301" s="13"/>
      <c r="D301" s="13"/>
      <c r="E301" s="13"/>
      <c r="F301" s="16"/>
      <c r="G301" s="13"/>
      <c r="H301" s="13"/>
      <c r="I301" s="13"/>
    </row>
    <row r="302" spans="1:9" ht="24" customHeight="1">
      <c r="A302" s="15" t="str">
        <f t="shared" si="4"/>
        <v/>
      </c>
      <c r="B302" s="16"/>
      <c r="C302" s="13"/>
      <c r="D302" s="13"/>
      <c r="E302" s="13"/>
      <c r="F302" s="16"/>
      <c r="G302" s="13"/>
      <c r="H302" s="13"/>
      <c r="I302" s="13"/>
    </row>
    <row r="303" spans="1:9" ht="24" customHeight="1">
      <c r="A303" s="15" t="str">
        <f t="shared" si="4"/>
        <v/>
      </c>
      <c r="B303" s="16"/>
      <c r="C303" s="13"/>
      <c r="D303" s="13"/>
      <c r="E303" s="13"/>
      <c r="F303" s="16"/>
      <c r="G303" s="13"/>
      <c r="H303" s="13"/>
      <c r="I303" s="13"/>
    </row>
    <row r="304" spans="1:9" ht="24" customHeight="1">
      <c r="A304" s="15" t="str">
        <f t="shared" si="4"/>
        <v/>
      </c>
      <c r="B304" s="16"/>
      <c r="C304" s="13"/>
      <c r="D304" s="13"/>
      <c r="E304" s="13"/>
      <c r="F304" s="16"/>
      <c r="G304" s="13"/>
      <c r="H304" s="13"/>
      <c r="I304" s="13"/>
    </row>
    <row r="305" spans="1:9" ht="24" customHeight="1">
      <c r="A305" s="15" t="str">
        <f t="shared" si="4"/>
        <v/>
      </c>
      <c r="B305" s="16"/>
      <c r="C305" s="13"/>
      <c r="D305" s="13"/>
      <c r="E305" s="13"/>
      <c r="F305" s="16"/>
      <c r="G305" s="13"/>
      <c r="H305" s="13"/>
      <c r="I305" s="13"/>
    </row>
    <row r="306" spans="1:9" ht="24" customHeight="1">
      <c r="A306" s="15" t="str">
        <f t="shared" si="4"/>
        <v/>
      </c>
      <c r="B306" s="16"/>
      <c r="C306" s="13"/>
      <c r="D306" s="13"/>
      <c r="E306" s="13"/>
      <c r="F306" s="16"/>
      <c r="G306" s="13"/>
      <c r="H306" s="13"/>
      <c r="I306" s="13"/>
    </row>
    <row r="307" spans="1:9" ht="24" customHeight="1">
      <c r="A307" s="15" t="str">
        <f t="shared" si="4"/>
        <v/>
      </c>
      <c r="B307" s="16"/>
      <c r="C307" s="13"/>
      <c r="D307" s="13"/>
      <c r="E307" s="13"/>
      <c r="F307" s="16"/>
      <c r="G307" s="13"/>
      <c r="H307" s="13"/>
      <c r="I307" s="13"/>
    </row>
    <row r="308" spans="1:9" ht="24" customHeight="1">
      <c r="A308" s="15" t="str">
        <f t="shared" si="4"/>
        <v/>
      </c>
      <c r="B308" s="16"/>
      <c r="C308" s="13"/>
      <c r="D308" s="13"/>
      <c r="E308" s="13"/>
      <c r="F308" s="16"/>
      <c r="G308" s="13"/>
      <c r="H308" s="13"/>
      <c r="I308" s="13"/>
    </row>
    <row r="309" spans="1:9" ht="24" customHeight="1">
      <c r="A309" s="15" t="str">
        <f t="shared" si="4"/>
        <v/>
      </c>
      <c r="B309" s="16"/>
      <c r="C309" s="13"/>
      <c r="D309" s="13"/>
      <c r="E309" s="13"/>
      <c r="F309" s="16"/>
      <c r="G309" s="13"/>
      <c r="H309" s="13"/>
      <c r="I309" s="13"/>
    </row>
    <row r="310" spans="1:9" ht="24" customHeight="1">
      <c r="A310" s="15" t="str">
        <f t="shared" si="4"/>
        <v/>
      </c>
      <c r="B310" s="16"/>
      <c r="C310" s="13"/>
      <c r="D310" s="13"/>
      <c r="E310" s="13"/>
      <c r="F310" s="16"/>
      <c r="G310" s="13"/>
      <c r="H310" s="13"/>
      <c r="I310" s="13"/>
    </row>
    <row r="311" spans="1:9" ht="24" customHeight="1">
      <c r="A311" s="15" t="str">
        <f t="shared" si="4"/>
        <v/>
      </c>
      <c r="B311" s="16"/>
      <c r="C311" s="13"/>
      <c r="D311" s="13"/>
      <c r="E311" s="13"/>
      <c r="F311" s="16"/>
      <c r="G311" s="13"/>
      <c r="H311" s="13"/>
      <c r="I311" s="13"/>
    </row>
    <row r="312" spans="1:9" ht="24" customHeight="1">
      <c r="A312" s="15" t="str">
        <f t="shared" si="4"/>
        <v/>
      </c>
      <c r="B312" s="16"/>
      <c r="C312" s="13"/>
      <c r="D312" s="13"/>
      <c r="E312" s="13"/>
      <c r="F312" s="16"/>
      <c r="G312" s="13"/>
      <c r="H312" s="13"/>
      <c r="I312" s="13"/>
    </row>
  </sheetData>
  <mergeCells count="13">
    <mergeCell ref="A9:D9"/>
    <mergeCell ref="E9:I9"/>
    <mergeCell ref="A6:D6"/>
    <mergeCell ref="E6:I6"/>
    <mergeCell ref="A7:D7"/>
    <mergeCell ref="E7:I7"/>
    <mergeCell ref="A8:I8"/>
    <mergeCell ref="A2:I2"/>
    <mergeCell ref="A3:I3"/>
    <mergeCell ref="A4:D4"/>
    <mergeCell ref="E4:I4"/>
    <mergeCell ref="A5:D5"/>
    <mergeCell ref="E5:I5"/>
  </mergeCells>
  <dataValidations count="1">
    <dataValidation type="list" allowBlank="1" showErrorMessage="1" errorTitle="Select a listed value" error="Use the dropdown. Project lists can be adapted in Lists or H_Status_Codes." sqref="I13:I312" ns2:uid="{00000000-0002-0000-0800-000000000000}">
      <formula1>TraceabilityStatuses</formula1>
    </dataValidation>
  </dataValidation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xmlns:x14="http://schemas.microsoft.com/office/spreadsheetml/2009/9/main" xmlns:xm="http://schemas.microsoft.com/office/excel/2006/main" ns1:Ignorable="x14ac xr xr2 xr3" ns2:uid="{00000000-0001-0000-0900-000000000000}">
  <sheetPr>
    <tabColor rgb="FF2B6E9F"/>
    <pageSetUpPr fitToPage="1"/>
  </sheetPr>
  <dimension ref="A1:L212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9" customWidth="1"/>
    <col min="2" max="2" width="49" customWidth="1"/>
    <col min="3" max="3" width="15" customWidth="1"/>
    <col min="4" max="4" width="18" customWidth="1"/>
    <col min="5" max="7" width="16" customWidth="1"/>
    <col min="8" max="8" width="53" customWidth="1"/>
    <col min="9" max="9" width="28" customWidth="1"/>
    <col min="10" max="11" width="20" customWidth="1"/>
    <col min="12" max="12" width="42" customWidth="1"/>
  </cols>
  <sheetData>
    <row r="1" spans="1:12" ht="9.949999999999999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7.95" customHeight="1">
      <c r="A2" s="27" t="s">
        <v>238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0.100000000000001" customHeight="1">
      <c r="A3" s="28" t="s">
        <v>66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/>
      <c r="D4" s="29"/>
      <c r="E4" s="29"/>
      <c r="F4" s="29"/>
      <c r="G4" s="29" t="str">
        <f>"Project ID: "&amp;IF('00_Project'!$B$7="","",'00_Project'!$B$7)</f>
        <v xml:space="preserve">Project ID: </v>
      </c>
      <c r="H4" s="29"/>
      <c r="I4" s="29"/>
      <c r="J4" s="29"/>
      <c r="K4" s="29"/>
      <c r="L4" s="29"/>
    </row>
    <row r="5" spans="1:12" ht="26.1" customHeight="1">
      <c r="A5" s="29" t="str">
        <f>"Client / Owner: "&amp;IF('00_Project'!$B$8="","",'00_Project'!$B$8)</f>
        <v xml:space="preserve">Client / Owner: </v>
      </c>
      <c r="B5" s="29"/>
      <c r="C5" s="29"/>
      <c r="D5" s="29"/>
      <c r="E5" s="29"/>
      <c r="F5" s="29"/>
      <c r="G5" s="29" t="str">
        <f>"Contractor: "&amp;IF('00_Project'!$B$9="","",'00_Project'!$B$9)</f>
        <v xml:space="preserve">Contractor: </v>
      </c>
      <c r="H5" s="29"/>
      <c r="I5" s="29"/>
      <c r="J5" s="29"/>
      <c r="K5" s="29"/>
      <c r="L5" s="29"/>
    </row>
    <row r="6" spans="1:12" ht="26.1" customHeight="1">
      <c r="A6" s="29" t="str">
        <f>"Project document ID: "&amp;IF('00_Project'!$B$11="","",'00_Project'!$B$11)</f>
        <v xml:space="preserve">Project document ID: </v>
      </c>
      <c r="B6" s="29"/>
      <c r="C6" s="29"/>
      <c r="D6" s="29"/>
      <c r="E6" s="29"/>
      <c r="F6" s="29"/>
      <c r="G6" s="29" t="str">
        <f>"Project revision: "&amp;IF('00_Project'!$B$12="","",'00_Project'!$B$12)</f>
        <v xml:space="preserve">Project revision: </v>
      </c>
      <c r="H6" s="29"/>
      <c r="I6" s="29"/>
      <c r="J6" s="29"/>
      <c r="K6" s="29"/>
      <c r="L6" s="29"/>
    </row>
    <row r="7" spans="1:12" ht="24" customHeight="1">
      <c r="A7" s="30" t="str">
        <f>"Document status: "&amp;IF('00_Project'!$B$13="","",'00_Project'!$B$13)</f>
        <v>Document status: Draft</v>
      </c>
      <c r="B7" s="30"/>
      <c r="C7" s="30"/>
      <c r="D7" s="30"/>
      <c r="E7" s="30"/>
      <c r="F7" s="30"/>
      <c r="G7" s="30" t="str">
        <f>"Issue date: "&amp;IF('00_Project'!$B$17="","",TEXT('00_Project'!$B$17,"dd-mmm-yyyy"))</f>
        <v xml:space="preserve">Issue date: </v>
      </c>
      <c r="H7" s="30"/>
      <c r="I7" s="30"/>
      <c r="J7" s="30"/>
      <c r="K7" s="30"/>
      <c r="L7" s="30"/>
    </row>
    <row r="8" spans="1:12" ht="40" customHeight="1">
      <c r="A8" s="25" t="str">
        <v>Received, Reviewed and Accepted are cumulative counts of distinct records. Exclude superseded duplicates and conditional acceptance. Percentages require four valid whole-number counts and Expected &gt; 0. Explain zero expected scope in H or use N with an approved N/A reference. Duplicate per package.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 ht="26.1" customHeight="1">
      <c r="A9" s="29" t="str">
        <f>"Prepared by: "&amp;IF('00_Project'!$B$14="","",'00_Project'!$B$14)</f>
        <v xml:space="preserve">Prepared by: </v>
      </c>
      <c r="B9" s="29"/>
      <c r="C9" s="29"/>
      <c r="D9" s="29"/>
      <c r="E9" s="29"/>
      <c r="F9" s="29"/>
      <c r="G9" s="29" t="str">
        <f>"Reviewed by: "&amp;IF('00_Project'!$B$15="","",'00_Project'!$B$15)&amp;" / Approved by: "&amp;IF('00_Project'!$B$16="","",'00_Project'!$B$16)</f>
        <v xml:space="preserve">Reviewed by:  / Approved by: </v>
      </c>
      <c r="H9" s="29"/>
      <c r="I9" s="29"/>
      <c r="J9" s="29"/>
      <c r="K9" s="29"/>
      <c r="L9" s="29"/>
    </row>
    <row r="10" spans="1:12" ht="33.950000000000003" customHeight="1">
      <c r="A10" s="9" t="s">
        <v>101</v>
      </c>
      <c r="B10" s="18"/>
      <c r="C10" s="9"/>
      <c r="D10" s="9" t="s">
        <v>123</v>
      </c>
      <c r="E10" s="18"/>
      <c r="F10" s="9"/>
      <c r="G10" s="9"/>
      <c r="H10" s="9"/>
      <c r="I10" s="9"/>
      <c r="J10" s="9"/>
      <c r="K10" s="9"/>
      <c r="L10" s="9"/>
    </row>
    <row r="11" spans="1:12" ht="9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42" customHeight="1">
      <c r="A12" s="14" t="s">
        <v>124</v>
      </c>
      <c r="B12" s="14" t="s">
        <v>240</v>
      </c>
      <c r="C12" s="14" t="s">
        <v>241</v>
      </c>
      <c r="D12" s="14" t="s">
        <v>242</v>
      </c>
      <c r="E12" s="14" t="s">
        <v>243</v>
      </c>
      <c r="F12" s="14" t="s">
        <v>244</v>
      </c>
      <c r="G12" s="14" t="s">
        <v>245</v>
      </c>
      <c r="H12" s="14" t="s">
        <v>246</v>
      </c>
      <c r="I12" s="14" t="s">
        <v>247</v>
      </c>
      <c r="J12" s="14" t="s">
        <v>248</v>
      </c>
      <c r="K12" s="14" t="s">
        <v>249</v>
      </c>
      <c r="L12" s="14" t="s">
        <v>250</v>
      </c>
    </row>
    <row r="13" spans="1:12" ht="24" customHeight="1">
      <c r="A13" s="15" t="str">
        <f t="shared" ref="A13:A44" si="0">IF(B13="","",ROW()-12)</f>
        <v/>
      </c>
      <c r="B13" s="13"/>
      <c r="C13" s="13"/>
      <c r="D13" s="20"/>
      <c r="E13" s="20"/>
      <c r="F13" s="20"/>
      <c r="G13" s="20"/>
      <c r="H13" s="13"/>
      <c r="I13" s="13"/>
      <c r="J13" s="17"/>
      <c r="K13" s="21" t="str">
        <f t="shared" ref="K13:K44" si="1">IF(B13="","",IF(C13="N","N/A",IF(OR(C13&lt;&gt;"Y",COUNT(D13:G13)&lt;4),"",IF(OR(D13&lt;=0,E13&lt;0,F13&lt;0,G13&lt;0,E13&gt;D13,F13&gt;E13,G13&gt;F13,D13&lt;&gt;INT(D13),E13&lt;&gt;INT(E13),F13&lt;&gt;INT(F13),G13&lt;&gt;INT(G13)),"",G13/D13))))</f>
      </c>
      <c r="L13" s="15" t="str">
        <f t="shared" ref="L13:L44" si="2">IF(B13="","",IF(C13="N",IF(H13="","Add approved N/A reference","N/A documented"),IF(C13&lt;&gt;"Y","Select Y / N",IF(COUNT(D13:G13)&lt;4,"Enter all four counts",IF(OR(D13&lt;0,E13&lt;0,F13&lt;0,G13&lt;0,E13&gt;D13,F13&gt;E13,G13&gt;F13,D13&lt;&gt;INT(D13),E13&lt;&gt;INT(E13),F13&lt;&gt;INT(F13),G13&lt;&gt;INT(G13)),"Review record counts",IF(D13=0,"Set expected count or justify zero scope","Counts consistent"))))))</f>
      </c>
    </row>
    <row r="14" spans="1:12" ht="24" customHeight="1">
      <c r="A14" s="15" t="str">
        <f t="shared" si="0"/>
        <v/>
      </c>
      <c r="B14" s="13"/>
      <c r="C14" s="13"/>
      <c r="D14" s="20"/>
      <c r="E14" s="20"/>
      <c r="F14" s="20"/>
      <c r="G14" s="20"/>
      <c r="H14" s="13"/>
      <c r="I14" s="13"/>
      <c r="J14" s="17"/>
      <c r="K14" s="21" t="str">
        <f t="shared" si="1">IF(B14="","",IF(C14="N","N/A",IF(OR(C14&lt;&gt;"Y",COUNT(D14:G14)&lt;4),"",IF(OR(D14&lt;=0,E14&lt;0,F14&lt;0,G14&lt;0,E14&gt;D14,F14&gt;E14,G14&gt;F14,D14&lt;&gt;INT(D14),E14&lt;&gt;INT(E14),F14&lt;&gt;INT(F14),G14&lt;&gt;INT(G14)),"",G14/D14))))</f>
      </c>
      <c r="L14" s="15" t="str">
        <f t="shared" si="2">IF(B14="","",IF(C14="N",IF(H14="","Add approved N/A reference","N/A documented"),IF(C14&lt;&gt;"Y","Select Y / N",IF(COUNT(D14:G14)&lt;4,"Enter all four counts",IF(OR(D14&lt;0,E14&lt;0,F14&lt;0,G14&lt;0,E14&gt;D14,F14&gt;E14,G14&gt;F14,D14&lt;&gt;INT(D14),E14&lt;&gt;INT(E14),F14&lt;&gt;INT(F14),G14&lt;&gt;INT(G14)),"Review record counts",IF(D14=0,"Set expected count or justify zero scope","Counts consistent"))))))</f>
      </c>
    </row>
    <row r="15" spans="1:12" ht="24" customHeight="1">
      <c r="A15" s="15" t="str">
        <f t="shared" si="0"/>
        <v/>
      </c>
      <c r="B15" s="13"/>
      <c r="C15" s="13"/>
      <c r="D15" s="20"/>
      <c r="E15" s="20"/>
      <c r="F15" s="20"/>
      <c r="G15" s="20"/>
      <c r="H15" s="13"/>
      <c r="I15" s="13"/>
      <c r="J15" s="17"/>
      <c r="K15" s="21" t="str">
        <f t="shared" si="1">IF(B15="","",IF(C15="N","N/A",IF(OR(C15&lt;&gt;"Y",COUNT(D15:G15)&lt;4),"",IF(OR(D15&lt;=0,E15&lt;0,F15&lt;0,G15&lt;0,E15&gt;D15,F15&gt;E15,G15&gt;F15,D15&lt;&gt;INT(D15),E15&lt;&gt;INT(E15),F15&lt;&gt;INT(F15),G15&lt;&gt;INT(G15)),"",G15/D15))))</f>
      </c>
      <c r="L15" s="15" t="str">
        <f t="shared" si="2">IF(B15="","",IF(C15="N",IF(H15="","Add approved N/A reference","N/A documented"),IF(C15&lt;&gt;"Y","Select Y / N",IF(COUNT(D15:G15)&lt;4,"Enter all four counts",IF(OR(D15&lt;0,E15&lt;0,F15&lt;0,G15&lt;0,E15&gt;D15,F15&gt;E15,G15&gt;F15,D15&lt;&gt;INT(D15),E15&lt;&gt;INT(E15),F15&lt;&gt;INT(F15),G15&lt;&gt;INT(G15)),"Review record counts",IF(D15=0,"Set expected count or justify zero scope","Counts consistent"))))))</f>
      </c>
    </row>
    <row r="16" spans="1:12" ht="24" customHeight="1">
      <c r="A16" s="15" t="str">
        <f t="shared" si="0"/>
        <v/>
      </c>
      <c r="B16" s="13"/>
      <c r="C16" s="13"/>
      <c r="D16" s="20"/>
      <c r="E16" s="20"/>
      <c r="F16" s="20"/>
      <c r="G16" s="20"/>
      <c r="H16" s="13"/>
      <c r="I16" s="13"/>
      <c r="J16" s="17"/>
      <c r="K16" s="21" t="str">
        <f t="shared" si="1">IF(B16="","",IF(C16="N","N/A",IF(OR(C16&lt;&gt;"Y",COUNT(D16:G16)&lt;4),"",IF(OR(D16&lt;=0,E16&lt;0,F16&lt;0,G16&lt;0,E16&gt;D16,F16&gt;E16,G16&gt;F16,D16&lt;&gt;INT(D16),E16&lt;&gt;INT(E16),F16&lt;&gt;INT(F16),G16&lt;&gt;INT(G16)),"",G16/D16))))</f>
      </c>
      <c r="L16" s="15" t="str">
        <f t="shared" si="2">IF(B16="","",IF(C16="N",IF(H16="","Add approved N/A reference","N/A documented"),IF(C16&lt;&gt;"Y","Select Y / N",IF(COUNT(D16:G16)&lt;4,"Enter all four counts",IF(OR(D16&lt;0,E16&lt;0,F16&lt;0,G16&lt;0,E16&gt;D16,F16&gt;E16,G16&gt;F16,D16&lt;&gt;INT(D16),E16&lt;&gt;INT(E16),F16&lt;&gt;INT(F16),G16&lt;&gt;INT(G16)),"Review record counts",IF(D16=0,"Set expected count or justify zero scope","Counts consistent"))))))</f>
      </c>
    </row>
    <row r="17" spans="1:12" ht="24" customHeight="1">
      <c r="A17" s="15" t="str">
        <f t="shared" si="0"/>
        <v/>
      </c>
      <c r="B17" s="13"/>
      <c r="C17" s="13"/>
      <c r="D17" s="20"/>
      <c r="E17" s="20"/>
      <c r="F17" s="20"/>
      <c r="G17" s="20"/>
      <c r="H17" s="13"/>
      <c r="I17" s="13"/>
      <c r="J17" s="17"/>
      <c r="K17" s="21" t="str">
        <f t="shared" si="1">IF(B17="","",IF(C17="N","N/A",IF(OR(C17&lt;&gt;"Y",COUNT(D17:G17)&lt;4),"",IF(OR(D17&lt;=0,E17&lt;0,F17&lt;0,G17&lt;0,E17&gt;D17,F17&gt;E17,G17&gt;F17,D17&lt;&gt;INT(D17),E17&lt;&gt;INT(E17),F17&lt;&gt;INT(F17),G17&lt;&gt;INT(G17)),"",G17/D17))))</f>
      </c>
      <c r="L17" s="15" t="str">
        <f t="shared" si="2">IF(B17="","",IF(C17="N",IF(H17="","Add approved N/A reference","N/A documented"),IF(C17&lt;&gt;"Y","Select Y / N",IF(COUNT(D17:G17)&lt;4,"Enter all four counts",IF(OR(D17&lt;0,E17&lt;0,F17&lt;0,G17&lt;0,E17&gt;D17,F17&gt;E17,G17&gt;F17,D17&lt;&gt;INT(D17),E17&lt;&gt;INT(E17),F17&lt;&gt;INT(F17),G17&lt;&gt;INT(G17)),"Review record counts",IF(D17=0,"Set expected count or justify zero scope","Counts consistent"))))))</f>
      </c>
    </row>
    <row r="18" spans="1:12" ht="24" customHeight="1">
      <c r="A18" s="15" t="str">
        <f t="shared" si="0"/>
        <v/>
      </c>
      <c r="B18" s="13"/>
      <c r="C18" s="13"/>
      <c r="D18" s="20"/>
      <c r="E18" s="20"/>
      <c r="F18" s="20"/>
      <c r="G18" s="20"/>
      <c r="H18" s="13"/>
      <c r="I18" s="13"/>
      <c r="J18" s="17"/>
      <c r="K18" s="21" t="str">
        <f t="shared" si="1">IF(B18="","",IF(C18="N","N/A",IF(OR(C18&lt;&gt;"Y",COUNT(D18:G18)&lt;4),"",IF(OR(D18&lt;=0,E18&lt;0,F18&lt;0,G18&lt;0,E18&gt;D18,F18&gt;E18,G18&gt;F18,D18&lt;&gt;INT(D18),E18&lt;&gt;INT(E18),F18&lt;&gt;INT(F18),G18&lt;&gt;INT(G18)),"",G18/D18))))</f>
      </c>
      <c r="L18" s="15" t="str">
        <f t="shared" si="2">IF(B18="","",IF(C18="N",IF(H18="","Add approved N/A reference","N/A documented"),IF(C18&lt;&gt;"Y","Select Y / N",IF(COUNT(D18:G18)&lt;4,"Enter all four counts",IF(OR(D18&lt;0,E18&lt;0,F18&lt;0,G18&lt;0,E18&gt;D18,F18&gt;E18,G18&gt;F18,D18&lt;&gt;INT(D18),E18&lt;&gt;INT(E18),F18&lt;&gt;INT(F18),G18&lt;&gt;INT(G18)),"Review record counts",IF(D18=0,"Set expected count or justify zero scope","Counts consistent"))))))</f>
      </c>
    </row>
    <row r="19" spans="1:12" ht="24" customHeight="1">
      <c r="A19" s="15" t="str">
        <f t="shared" si="0"/>
        <v/>
      </c>
      <c r="B19" s="13"/>
      <c r="C19" s="13"/>
      <c r="D19" s="20"/>
      <c r="E19" s="20"/>
      <c r="F19" s="20"/>
      <c r="G19" s="20"/>
      <c r="H19" s="13"/>
      <c r="I19" s="13"/>
      <c r="J19" s="17"/>
      <c r="K19" s="21" t="str">
        <f t="shared" si="1">IF(B19="","",IF(C19="N","N/A",IF(OR(C19&lt;&gt;"Y",COUNT(D19:G19)&lt;4),"",IF(OR(D19&lt;=0,E19&lt;0,F19&lt;0,G19&lt;0,E19&gt;D19,F19&gt;E19,G19&gt;F19,D19&lt;&gt;INT(D19),E19&lt;&gt;INT(E19),F19&lt;&gt;INT(F19),G19&lt;&gt;INT(G19)),"",G19/D19))))</f>
      </c>
      <c r="L19" s="15" t="str">
        <f t="shared" si="2">IF(B19="","",IF(C19="N",IF(H19="","Add approved N/A reference","N/A documented"),IF(C19&lt;&gt;"Y","Select Y / N",IF(COUNT(D19:G19)&lt;4,"Enter all four counts",IF(OR(D19&lt;0,E19&lt;0,F19&lt;0,G19&lt;0,E19&gt;D19,F19&gt;E19,G19&gt;F19,D19&lt;&gt;INT(D19),E19&lt;&gt;INT(E19),F19&lt;&gt;INT(F19),G19&lt;&gt;INT(G19)),"Review record counts",IF(D19=0,"Set expected count or justify zero scope","Counts consistent"))))))</f>
      </c>
    </row>
    <row r="20" spans="1:12" ht="24" customHeight="1">
      <c r="A20" s="15" t="str">
        <f t="shared" si="0"/>
        <v/>
      </c>
      <c r="B20" s="13"/>
      <c r="C20" s="13"/>
      <c r="D20" s="20"/>
      <c r="E20" s="20"/>
      <c r="F20" s="20"/>
      <c r="G20" s="20"/>
      <c r="H20" s="13"/>
      <c r="I20" s="13"/>
      <c r="J20" s="17"/>
      <c r="K20" s="21" t="str">
        <f t="shared" si="1">IF(B20="","",IF(C20="N","N/A",IF(OR(C20&lt;&gt;"Y",COUNT(D20:G20)&lt;4),"",IF(OR(D20&lt;=0,E20&lt;0,F20&lt;0,G20&lt;0,E20&gt;D20,F20&gt;E20,G20&gt;F20,D20&lt;&gt;INT(D20),E20&lt;&gt;INT(E20),F20&lt;&gt;INT(F20),G20&lt;&gt;INT(G20)),"",G20/D20))))</f>
      </c>
      <c r="L20" s="15" t="str">
        <f t="shared" si="2">IF(B20="","",IF(C20="N",IF(H20="","Add approved N/A reference","N/A documented"),IF(C20&lt;&gt;"Y","Select Y / N",IF(COUNT(D20:G20)&lt;4,"Enter all four counts",IF(OR(D20&lt;0,E20&lt;0,F20&lt;0,G20&lt;0,E20&gt;D20,F20&gt;E20,G20&gt;F20,D20&lt;&gt;INT(D20),E20&lt;&gt;INT(E20),F20&lt;&gt;INT(F20),G20&lt;&gt;INT(G20)),"Review record counts",IF(D20=0,"Set expected count or justify zero scope","Counts consistent"))))))</f>
      </c>
    </row>
    <row r="21" spans="1:12" ht="24" customHeight="1">
      <c r="A21" s="15" t="str">
        <f t="shared" si="0"/>
        <v/>
      </c>
      <c r="B21" s="13"/>
      <c r="C21" s="13"/>
      <c r="D21" s="20"/>
      <c r="E21" s="20"/>
      <c r="F21" s="20"/>
      <c r="G21" s="20"/>
      <c r="H21" s="13"/>
      <c r="I21" s="13"/>
      <c r="J21" s="17"/>
      <c r="K21" s="21" t="str">
        <f t="shared" si="1">IF(B21="","",IF(C21="N","N/A",IF(OR(C21&lt;&gt;"Y",COUNT(D21:G21)&lt;4),"",IF(OR(D21&lt;=0,E21&lt;0,F21&lt;0,G21&lt;0,E21&gt;D21,F21&gt;E21,G21&gt;F21,D21&lt;&gt;INT(D21),E21&lt;&gt;INT(E21),F21&lt;&gt;INT(F21),G21&lt;&gt;INT(G21)),"",G21/D21))))</f>
      </c>
      <c r="L21" s="15" t="str">
        <f t="shared" si="2">IF(B21="","",IF(C21="N",IF(H21="","Add approved N/A reference","N/A documented"),IF(C21&lt;&gt;"Y","Select Y / N",IF(COUNT(D21:G21)&lt;4,"Enter all four counts",IF(OR(D21&lt;0,E21&lt;0,F21&lt;0,G21&lt;0,E21&gt;D21,F21&gt;E21,G21&gt;F21,D21&lt;&gt;INT(D21),E21&lt;&gt;INT(E21),F21&lt;&gt;INT(F21),G21&lt;&gt;INT(G21)),"Review record counts",IF(D21=0,"Set expected count or justify zero scope","Counts consistent"))))))</f>
      </c>
    </row>
    <row r="22" spans="1:12" ht="24" customHeight="1">
      <c r="A22" s="15" t="str">
        <f t="shared" si="0"/>
        <v/>
      </c>
      <c r="B22" s="13"/>
      <c r="C22" s="13"/>
      <c r="D22" s="20"/>
      <c r="E22" s="20"/>
      <c r="F22" s="20"/>
      <c r="G22" s="20"/>
      <c r="H22" s="13"/>
      <c r="I22" s="13"/>
      <c r="J22" s="17"/>
      <c r="K22" s="21" t="str">
        <f t="shared" si="1">IF(B22="","",IF(C22="N","N/A",IF(OR(C22&lt;&gt;"Y",COUNT(D22:G22)&lt;4),"",IF(OR(D22&lt;=0,E22&lt;0,F22&lt;0,G22&lt;0,E22&gt;D22,F22&gt;E22,G22&gt;F22,D22&lt;&gt;INT(D22),E22&lt;&gt;INT(E22),F22&lt;&gt;INT(F22),G22&lt;&gt;INT(G22)),"",G22/D22))))</f>
      </c>
      <c r="L22" s="15" t="str">
        <f t="shared" si="2">IF(B22="","",IF(C22="N",IF(H22="","Add approved N/A reference","N/A documented"),IF(C22&lt;&gt;"Y","Select Y / N",IF(COUNT(D22:G22)&lt;4,"Enter all four counts",IF(OR(D22&lt;0,E22&lt;0,F22&lt;0,G22&lt;0,E22&gt;D22,F22&gt;E22,G22&gt;F22,D22&lt;&gt;INT(D22),E22&lt;&gt;INT(E22),F22&lt;&gt;INT(F22),G22&lt;&gt;INT(G22)),"Review record counts",IF(D22=0,"Set expected count or justify zero scope","Counts consistent"))))))</f>
      </c>
    </row>
    <row r="23" spans="1:12" ht="24" customHeight="1">
      <c r="A23" s="15" t="str">
        <f t="shared" si="0"/>
        <v/>
      </c>
      <c r="B23" s="13"/>
      <c r="C23" s="13"/>
      <c r="D23" s="20"/>
      <c r="E23" s="20"/>
      <c r="F23" s="20"/>
      <c r="G23" s="20"/>
      <c r="H23" s="13"/>
      <c r="I23" s="13"/>
      <c r="J23" s="17"/>
      <c r="K23" s="21" t="str">
        <f t="shared" si="1">IF(B23="","",IF(C23="N","N/A",IF(OR(C23&lt;&gt;"Y",COUNT(D23:G23)&lt;4),"",IF(OR(D23&lt;=0,E23&lt;0,F23&lt;0,G23&lt;0,E23&gt;D23,F23&gt;E23,G23&gt;F23,D23&lt;&gt;INT(D23),E23&lt;&gt;INT(E23),F23&lt;&gt;INT(F23),G23&lt;&gt;INT(G23)),"",G23/D23))))</f>
      </c>
      <c r="L23" s="15" t="str">
        <f t="shared" si="2">IF(B23="","",IF(C23="N",IF(H23="","Add approved N/A reference","N/A documented"),IF(C23&lt;&gt;"Y","Select Y / N",IF(COUNT(D23:G23)&lt;4,"Enter all four counts",IF(OR(D23&lt;0,E23&lt;0,F23&lt;0,G23&lt;0,E23&gt;D23,F23&gt;E23,G23&gt;F23,D23&lt;&gt;INT(D23),E23&lt;&gt;INT(E23),F23&lt;&gt;INT(F23),G23&lt;&gt;INT(G23)),"Review record counts",IF(D23=0,"Set expected count or justify zero scope","Counts consistent"))))))</f>
      </c>
    </row>
    <row r="24" spans="1:12" ht="24" customHeight="1">
      <c r="A24" s="15" t="str">
        <f t="shared" si="0"/>
        <v/>
      </c>
      <c r="B24" s="13"/>
      <c r="C24" s="13"/>
      <c r="D24" s="20"/>
      <c r="E24" s="20"/>
      <c r="F24" s="20"/>
      <c r="G24" s="20"/>
      <c r="H24" s="13"/>
      <c r="I24" s="13"/>
      <c r="J24" s="17"/>
      <c r="K24" s="21" t="str">
        <f t="shared" si="1">IF(B24="","",IF(C24="N","N/A",IF(OR(C24&lt;&gt;"Y",COUNT(D24:G24)&lt;4),"",IF(OR(D24&lt;=0,E24&lt;0,F24&lt;0,G24&lt;0,E24&gt;D24,F24&gt;E24,G24&gt;F24,D24&lt;&gt;INT(D24),E24&lt;&gt;INT(E24),F24&lt;&gt;INT(F24),G24&lt;&gt;INT(G24)),"",G24/D24))))</f>
      </c>
      <c r="L24" s="15" t="str">
        <f t="shared" si="2">IF(B24="","",IF(C24="N",IF(H24="","Add approved N/A reference","N/A documented"),IF(C24&lt;&gt;"Y","Select Y / N",IF(COUNT(D24:G24)&lt;4,"Enter all four counts",IF(OR(D24&lt;0,E24&lt;0,F24&lt;0,G24&lt;0,E24&gt;D24,F24&gt;E24,G24&gt;F24,D24&lt;&gt;INT(D24),E24&lt;&gt;INT(E24),F24&lt;&gt;INT(F24),G24&lt;&gt;INT(G24)),"Review record counts",IF(D24=0,"Set expected count or justify zero scope","Counts consistent"))))))</f>
      </c>
    </row>
    <row r="25" spans="1:12" ht="24" customHeight="1">
      <c r="A25" s="15" t="str">
        <f t="shared" si="0"/>
        <v/>
      </c>
      <c r="B25" s="13"/>
      <c r="C25" s="13"/>
      <c r="D25" s="20"/>
      <c r="E25" s="20"/>
      <c r="F25" s="20"/>
      <c r="G25" s="20"/>
      <c r="H25" s="13"/>
      <c r="I25" s="13"/>
      <c r="J25" s="17"/>
      <c r="K25" s="21" t="str">
        <f t="shared" si="1">IF(B25="","",IF(C25="N","N/A",IF(OR(C25&lt;&gt;"Y",COUNT(D25:G25)&lt;4),"",IF(OR(D25&lt;=0,E25&lt;0,F25&lt;0,G25&lt;0,E25&gt;D25,F25&gt;E25,G25&gt;F25,D25&lt;&gt;INT(D25),E25&lt;&gt;INT(E25),F25&lt;&gt;INT(F25),G25&lt;&gt;INT(G25)),"",G25/D25))))</f>
      </c>
      <c r="L25" s="15" t="str">
        <f t="shared" si="2">IF(B25="","",IF(C25="N",IF(H25="","Add approved N/A reference","N/A documented"),IF(C25&lt;&gt;"Y","Select Y / N",IF(COUNT(D25:G25)&lt;4,"Enter all four counts",IF(OR(D25&lt;0,E25&lt;0,F25&lt;0,G25&lt;0,E25&gt;D25,F25&gt;E25,G25&gt;F25,D25&lt;&gt;INT(D25),E25&lt;&gt;INT(E25),F25&lt;&gt;INT(F25),G25&lt;&gt;INT(G25)),"Review record counts",IF(D25=0,"Set expected count or justify zero scope","Counts consistent"))))))</f>
      </c>
    </row>
    <row r="26" spans="1:12" ht="24" customHeight="1">
      <c r="A26" s="15" t="str">
        <f t="shared" si="0"/>
        <v/>
      </c>
      <c r="B26" s="13"/>
      <c r="C26" s="13"/>
      <c r="D26" s="20"/>
      <c r="E26" s="20"/>
      <c r="F26" s="20"/>
      <c r="G26" s="20"/>
      <c r="H26" s="13"/>
      <c r="I26" s="13"/>
      <c r="J26" s="17"/>
      <c r="K26" s="21" t="str">
        <f t="shared" si="1">IF(B26="","",IF(C26="N","N/A",IF(OR(C26&lt;&gt;"Y",COUNT(D26:G26)&lt;4),"",IF(OR(D26&lt;=0,E26&lt;0,F26&lt;0,G26&lt;0,E26&gt;D26,F26&gt;E26,G26&gt;F26,D26&lt;&gt;INT(D26),E26&lt;&gt;INT(E26),F26&lt;&gt;INT(F26),G26&lt;&gt;INT(G26)),"",G26/D26))))</f>
      </c>
      <c r="L26" s="15" t="str">
        <f t="shared" si="2">IF(B26="","",IF(C26="N",IF(H26="","Add approved N/A reference","N/A documented"),IF(C26&lt;&gt;"Y","Select Y / N",IF(COUNT(D26:G26)&lt;4,"Enter all four counts",IF(OR(D26&lt;0,E26&lt;0,F26&lt;0,G26&lt;0,E26&gt;D26,F26&gt;E26,G26&gt;F26,D26&lt;&gt;INT(D26),E26&lt;&gt;INT(E26),F26&lt;&gt;INT(F26),G26&lt;&gt;INT(G26)),"Review record counts",IF(D26=0,"Set expected count or justify zero scope","Counts consistent"))))))</f>
      </c>
    </row>
    <row r="27" spans="1:12" ht="24" customHeight="1">
      <c r="A27" s="15" t="str">
        <f t="shared" si="0"/>
        <v/>
      </c>
      <c r="B27" s="13"/>
      <c r="C27" s="13"/>
      <c r="D27" s="20"/>
      <c r="E27" s="20"/>
      <c r="F27" s="20"/>
      <c r="G27" s="20"/>
      <c r="H27" s="13"/>
      <c r="I27" s="13"/>
      <c r="J27" s="17"/>
      <c r="K27" s="21" t="str">
        <f t="shared" si="1">IF(B27="","",IF(C27="N","N/A",IF(OR(C27&lt;&gt;"Y",COUNT(D27:G27)&lt;4),"",IF(OR(D27&lt;=0,E27&lt;0,F27&lt;0,G27&lt;0,E27&gt;D27,F27&gt;E27,G27&gt;F27,D27&lt;&gt;INT(D27),E27&lt;&gt;INT(E27),F27&lt;&gt;INT(F27),G27&lt;&gt;INT(G27)),"",G27/D27))))</f>
      </c>
      <c r="L27" s="15" t="str">
        <f t="shared" si="2">IF(B27="","",IF(C27="N",IF(H27="","Add approved N/A reference","N/A documented"),IF(C27&lt;&gt;"Y","Select Y / N",IF(COUNT(D27:G27)&lt;4,"Enter all four counts",IF(OR(D27&lt;0,E27&lt;0,F27&lt;0,G27&lt;0,E27&gt;D27,F27&gt;E27,G27&gt;F27,D27&lt;&gt;INT(D27),E27&lt;&gt;INT(E27),F27&lt;&gt;INT(F27),G27&lt;&gt;INT(G27)),"Review record counts",IF(D27=0,"Set expected count or justify zero scope","Counts consistent"))))))</f>
      </c>
    </row>
    <row r="28" spans="1:12" ht="24" customHeight="1">
      <c r="A28" s="15" t="str">
        <f t="shared" si="0"/>
        <v/>
      </c>
      <c r="B28" s="13"/>
      <c r="C28" s="13"/>
      <c r="D28" s="20"/>
      <c r="E28" s="20"/>
      <c r="F28" s="20"/>
      <c r="G28" s="20"/>
      <c r="H28" s="13"/>
      <c r="I28" s="13"/>
      <c r="J28" s="17"/>
      <c r="K28" s="21" t="str">
        <f t="shared" si="1">IF(B28="","",IF(C28="N","N/A",IF(OR(C28&lt;&gt;"Y",COUNT(D28:G28)&lt;4),"",IF(OR(D28&lt;=0,E28&lt;0,F28&lt;0,G28&lt;0,E28&gt;D28,F28&gt;E28,G28&gt;F28,D28&lt;&gt;INT(D28),E28&lt;&gt;INT(E28),F28&lt;&gt;INT(F28),G28&lt;&gt;INT(G28)),"",G28/D28))))</f>
      </c>
      <c r="L28" s="15" t="str">
        <f t="shared" si="2">IF(B28="","",IF(C28="N",IF(H28="","Add approved N/A reference","N/A documented"),IF(C28&lt;&gt;"Y","Select Y / N",IF(COUNT(D28:G28)&lt;4,"Enter all four counts",IF(OR(D28&lt;0,E28&lt;0,F28&lt;0,G28&lt;0,E28&gt;D28,F28&gt;E28,G28&gt;F28,D28&lt;&gt;INT(D28),E28&lt;&gt;INT(E28),F28&lt;&gt;INT(F28),G28&lt;&gt;INT(G28)),"Review record counts",IF(D28=0,"Set expected count or justify zero scope","Counts consistent"))))))</f>
      </c>
    </row>
    <row r="29" spans="1:12" ht="24" customHeight="1">
      <c r="A29" s="15" t="str">
        <f t="shared" si="0"/>
        <v/>
      </c>
      <c r="B29" s="13"/>
      <c r="C29" s="13"/>
      <c r="D29" s="20"/>
      <c r="E29" s="20"/>
      <c r="F29" s="20"/>
      <c r="G29" s="20"/>
      <c r="H29" s="13"/>
      <c r="I29" s="13"/>
      <c r="J29" s="17"/>
      <c r="K29" s="21" t="str">
        <f t="shared" si="1">IF(B29="","",IF(C29="N","N/A",IF(OR(C29&lt;&gt;"Y",COUNT(D29:G29)&lt;4),"",IF(OR(D29&lt;=0,E29&lt;0,F29&lt;0,G29&lt;0,E29&gt;D29,F29&gt;E29,G29&gt;F29,D29&lt;&gt;INT(D29),E29&lt;&gt;INT(E29),F29&lt;&gt;INT(F29),G29&lt;&gt;INT(G29)),"",G29/D29))))</f>
      </c>
      <c r="L29" s="15" t="str">
        <f t="shared" si="2">IF(B29="","",IF(C29="N",IF(H29="","Add approved N/A reference","N/A documented"),IF(C29&lt;&gt;"Y","Select Y / N",IF(COUNT(D29:G29)&lt;4,"Enter all four counts",IF(OR(D29&lt;0,E29&lt;0,F29&lt;0,G29&lt;0,E29&gt;D29,F29&gt;E29,G29&gt;F29,D29&lt;&gt;INT(D29),E29&lt;&gt;INT(E29),F29&lt;&gt;INT(F29),G29&lt;&gt;INT(G29)),"Review record counts",IF(D29=0,"Set expected count or justify zero scope","Counts consistent"))))))</f>
      </c>
    </row>
    <row r="30" spans="1:12" ht="24" customHeight="1">
      <c r="A30" s="15" t="str">
        <f t="shared" si="0"/>
        <v/>
      </c>
      <c r="B30" s="13"/>
      <c r="C30" s="13"/>
      <c r="D30" s="20"/>
      <c r="E30" s="20"/>
      <c r="F30" s="20"/>
      <c r="G30" s="20"/>
      <c r="H30" s="13"/>
      <c r="I30" s="13"/>
      <c r="J30" s="17"/>
      <c r="K30" s="21" t="str">
        <f t="shared" si="1">IF(B30="","",IF(C30="N","N/A",IF(OR(C30&lt;&gt;"Y",COUNT(D30:G30)&lt;4),"",IF(OR(D30&lt;=0,E30&lt;0,F30&lt;0,G30&lt;0,E30&gt;D30,F30&gt;E30,G30&gt;F30,D30&lt;&gt;INT(D30),E30&lt;&gt;INT(E30),F30&lt;&gt;INT(F30),G30&lt;&gt;INT(G30)),"",G30/D30))))</f>
      </c>
      <c r="L30" s="15" t="str">
        <f t="shared" si="2">IF(B30="","",IF(C30="N",IF(H30="","Add approved N/A reference","N/A documented"),IF(C30&lt;&gt;"Y","Select Y / N",IF(COUNT(D30:G30)&lt;4,"Enter all four counts",IF(OR(D30&lt;0,E30&lt;0,F30&lt;0,G30&lt;0,E30&gt;D30,F30&gt;E30,G30&gt;F30,D30&lt;&gt;INT(D30),E30&lt;&gt;INT(E30),F30&lt;&gt;INT(F30),G30&lt;&gt;INT(G30)),"Review record counts",IF(D30=0,"Set expected count or justify zero scope","Counts consistent"))))))</f>
      </c>
    </row>
    <row r="31" spans="1:12" ht="24" customHeight="1">
      <c r="A31" s="15" t="str">
        <f t="shared" si="0"/>
        <v/>
      </c>
      <c r="B31" s="13"/>
      <c r="C31" s="13"/>
      <c r="D31" s="20"/>
      <c r="E31" s="20"/>
      <c r="F31" s="20"/>
      <c r="G31" s="20"/>
      <c r="H31" s="13"/>
      <c r="I31" s="13"/>
      <c r="J31" s="17"/>
      <c r="K31" s="21" t="str">
        <f t="shared" si="1">IF(B31="","",IF(C31="N","N/A",IF(OR(C31&lt;&gt;"Y",COUNT(D31:G31)&lt;4),"",IF(OR(D31&lt;=0,E31&lt;0,F31&lt;0,G31&lt;0,E31&gt;D31,F31&gt;E31,G31&gt;F31,D31&lt;&gt;INT(D31),E31&lt;&gt;INT(E31),F31&lt;&gt;INT(F31),G31&lt;&gt;INT(G31)),"",G31/D31))))</f>
      </c>
      <c r="L31" s="15" t="str">
        <f t="shared" si="2">IF(B31="","",IF(C31="N",IF(H31="","Add approved N/A reference","N/A documented"),IF(C31&lt;&gt;"Y","Select Y / N",IF(COUNT(D31:G31)&lt;4,"Enter all four counts",IF(OR(D31&lt;0,E31&lt;0,F31&lt;0,G31&lt;0,E31&gt;D31,F31&gt;E31,G31&gt;F31,D31&lt;&gt;INT(D31),E31&lt;&gt;INT(E31),F31&lt;&gt;INT(F31),G31&lt;&gt;INT(G31)),"Review record counts",IF(D31=0,"Set expected count or justify zero scope","Counts consistent"))))))</f>
      </c>
    </row>
    <row r="32" spans="1:12" ht="24" customHeight="1">
      <c r="A32" s="15" t="str">
        <f t="shared" si="0"/>
        <v/>
      </c>
      <c r="B32" s="13"/>
      <c r="C32" s="13"/>
      <c r="D32" s="20"/>
      <c r="E32" s="20"/>
      <c r="F32" s="20"/>
      <c r="G32" s="20"/>
      <c r="H32" s="13"/>
      <c r="I32" s="13"/>
      <c r="J32" s="17"/>
      <c r="K32" s="21" t="str">
        <f t="shared" si="1">IF(B32="","",IF(C32="N","N/A",IF(OR(C32&lt;&gt;"Y",COUNT(D32:G32)&lt;4),"",IF(OR(D32&lt;=0,E32&lt;0,F32&lt;0,G32&lt;0,E32&gt;D32,F32&gt;E32,G32&gt;F32,D32&lt;&gt;INT(D32),E32&lt;&gt;INT(E32),F32&lt;&gt;INT(F32),G32&lt;&gt;INT(G32)),"",G32/D32))))</f>
      </c>
      <c r="L32" s="15" t="str">
        <f t="shared" si="2">IF(B32="","",IF(C32="N",IF(H32="","Add approved N/A reference","N/A documented"),IF(C32&lt;&gt;"Y","Select Y / N",IF(COUNT(D32:G32)&lt;4,"Enter all four counts",IF(OR(D32&lt;0,E32&lt;0,F32&lt;0,G32&lt;0,E32&gt;D32,F32&gt;E32,G32&gt;F32,D32&lt;&gt;INT(D32),E32&lt;&gt;INT(E32),F32&lt;&gt;INT(F32),G32&lt;&gt;INT(G32)),"Review record counts",IF(D32=0,"Set expected count or justify zero scope","Counts consistent"))))))</f>
      </c>
    </row>
    <row r="33" spans="1:12" ht="24" customHeight="1">
      <c r="A33" s="15" t="str">
        <f t="shared" si="0"/>
        <v/>
      </c>
      <c r="B33" s="13"/>
      <c r="C33" s="13"/>
      <c r="D33" s="20"/>
      <c r="E33" s="20"/>
      <c r="F33" s="20"/>
      <c r="G33" s="20"/>
      <c r="H33" s="13"/>
      <c r="I33" s="13"/>
      <c r="J33" s="17"/>
      <c r="K33" s="21" t="str">
        <f t="shared" si="1">IF(B33="","",IF(C33="N","N/A",IF(OR(C33&lt;&gt;"Y",COUNT(D33:G33)&lt;4),"",IF(OR(D33&lt;=0,E33&lt;0,F33&lt;0,G33&lt;0,E33&gt;D33,F33&gt;E33,G33&gt;F33,D33&lt;&gt;INT(D33),E33&lt;&gt;INT(E33),F33&lt;&gt;INT(F33),G33&lt;&gt;INT(G33)),"",G33/D33))))</f>
      </c>
      <c r="L33" s="15" t="str">
        <f t="shared" si="2">IF(B33="","",IF(C33="N",IF(H33="","Add approved N/A reference","N/A documented"),IF(C33&lt;&gt;"Y","Select Y / N",IF(COUNT(D33:G33)&lt;4,"Enter all four counts",IF(OR(D33&lt;0,E33&lt;0,F33&lt;0,G33&lt;0,E33&gt;D33,F33&gt;E33,G33&gt;F33,D33&lt;&gt;INT(D33),E33&lt;&gt;INT(E33),F33&lt;&gt;INT(F33),G33&lt;&gt;INT(G33)),"Review record counts",IF(D33=0,"Set expected count or justify zero scope","Counts consistent"))))))</f>
      </c>
    </row>
    <row r="34" spans="1:12" ht="24" customHeight="1">
      <c r="A34" s="15" t="str">
        <f t="shared" si="0"/>
        <v/>
      </c>
      <c r="B34" s="13"/>
      <c r="C34" s="13"/>
      <c r="D34" s="20"/>
      <c r="E34" s="20"/>
      <c r="F34" s="20"/>
      <c r="G34" s="20"/>
      <c r="H34" s="13"/>
      <c r="I34" s="13"/>
      <c r="J34" s="17"/>
      <c r="K34" s="21" t="str">
        <f t="shared" si="1">IF(B34="","",IF(C34="N","N/A",IF(OR(C34&lt;&gt;"Y",COUNT(D34:G34)&lt;4),"",IF(OR(D34&lt;=0,E34&lt;0,F34&lt;0,G34&lt;0,E34&gt;D34,F34&gt;E34,G34&gt;F34,D34&lt;&gt;INT(D34),E34&lt;&gt;INT(E34),F34&lt;&gt;INT(F34),G34&lt;&gt;INT(G34)),"",G34/D34))))</f>
      </c>
      <c r="L34" s="15" t="str">
        <f t="shared" si="2">IF(B34="","",IF(C34="N",IF(H34="","Add approved N/A reference","N/A documented"),IF(C34&lt;&gt;"Y","Select Y / N",IF(COUNT(D34:G34)&lt;4,"Enter all four counts",IF(OR(D34&lt;0,E34&lt;0,F34&lt;0,G34&lt;0,E34&gt;D34,F34&gt;E34,G34&gt;F34,D34&lt;&gt;INT(D34),E34&lt;&gt;INT(E34),F34&lt;&gt;INT(F34),G34&lt;&gt;INT(G34)),"Review record counts",IF(D34=0,"Set expected count or justify zero scope","Counts consistent"))))))</f>
      </c>
    </row>
    <row r="35" spans="1:12" ht="24" customHeight="1">
      <c r="A35" s="15" t="str">
        <f t="shared" si="0"/>
        <v/>
      </c>
      <c r="B35" s="13"/>
      <c r="C35" s="13"/>
      <c r="D35" s="20"/>
      <c r="E35" s="20"/>
      <c r="F35" s="20"/>
      <c r="G35" s="20"/>
      <c r="H35" s="13"/>
      <c r="I35" s="13"/>
      <c r="J35" s="17"/>
      <c r="K35" s="21" t="str">
        <f t="shared" si="1">IF(B35="","",IF(C35="N","N/A",IF(OR(C35&lt;&gt;"Y",COUNT(D35:G35)&lt;4),"",IF(OR(D35&lt;=0,E35&lt;0,F35&lt;0,G35&lt;0,E35&gt;D35,F35&gt;E35,G35&gt;F35,D35&lt;&gt;INT(D35),E35&lt;&gt;INT(E35),F35&lt;&gt;INT(F35),G35&lt;&gt;INT(G35)),"",G35/D35))))</f>
      </c>
      <c r="L35" s="15" t="str">
        <f t="shared" si="2">IF(B35="","",IF(C35="N",IF(H35="","Add approved N/A reference","N/A documented"),IF(C35&lt;&gt;"Y","Select Y / N",IF(COUNT(D35:G35)&lt;4,"Enter all four counts",IF(OR(D35&lt;0,E35&lt;0,F35&lt;0,G35&lt;0,E35&gt;D35,F35&gt;E35,G35&gt;F35,D35&lt;&gt;INT(D35),E35&lt;&gt;INT(E35),F35&lt;&gt;INT(F35),G35&lt;&gt;INT(G35)),"Review record counts",IF(D35=0,"Set expected count or justify zero scope","Counts consistent"))))))</f>
      </c>
    </row>
    <row r="36" spans="1:12" ht="24" customHeight="1">
      <c r="A36" s="15" t="str">
        <f t="shared" si="0"/>
        <v/>
      </c>
      <c r="B36" s="13"/>
      <c r="C36" s="13"/>
      <c r="D36" s="20"/>
      <c r="E36" s="20"/>
      <c r="F36" s="20"/>
      <c r="G36" s="20"/>
      <c r="H36" s="13"/>
      <c r="I36" s="13"/>
      <c r="J36" s="17"/>
      <c r="K36" s="21" t="str">
        <f t="shared" si="1">IF(B36="","",IF(C36="N","N/A",IF(OR(C36&lt;&gt;"Y",COUNT(D36:G36)&lt;4),"",IF(OR(D36&lt;=0,E36&lt;0,F36&lt;0,G36&lt;0,E36&gt;D36,F36&gt;E36,G36&gt;F36,D36&lt;&gt;INT(D36),E36&lt;&gt;INT(E36),F36&lt;&gt;INT(F36),G36&lt;&gt;INT(G36)),"",G36/D36))))</f>
      </c>
      <c r="L36" s="15" t="str">
        <f t="shared" si="2">IF(B36="","",IF(C36="N",IF(H36="","Add approved N/A reference","N/A documented"),IF(C36&lt;&gt;"Y","Select Y / N",IF(COUNT(D36:G36)&lt;4,"Enter all four counts",IF(OR(D36&lt;0,E36&lt;0,F36&lt;0,G36&lt;0,E36&gt;D36,F36&gt;E36,G36&gt;F36,D36&lt;&gt;INT(D36),E36&lt;&gt;INT(E36),F36&lt;&gt;INT(F36),G36&lt;&gt;INT(G36)),"Review record counts",IF(D36=0,"Set expected count or justify zero scope","Counts consistent"))))))</f>
      </c>
    </row>
    <row r="37" spans="1:12" ht="24" customHeight="1">
      <c r="A37" s="15" t="str">
        <f t="shared" si="0"/>
        <v/>
      </c>
      <c r="B37" s="13"/>
      <c r="C37" s="13"/>
      <c r="D37" s="20"/>
      <c r="E37" s="20"/>
      <c r="F37" s="20"/>
      <c r="G37" s="20"/>
      <c r="H37" s="13"/>
      <c r="I37" s="13"/>
      <c r="J37" s="17"/>
      <c r="K37" s="21" t="str">
        <f t="shared" si="1">IF(B37="","",IF(C37="N","N/A",IF(OR(C37&lt;&gt;"Y",COUNT(D37:G37)&lt;4),"",IF(OR(D37&lt;=0,E37&lt;0,F37&lt;0,G37&lt;0,E37&gt;D37,F37&gt;E37,G37&gt;F37,D37&lt;&gt;INT(D37),E37&lt;&gt;INT(E37),F37&lt;&gt;INT(F37),G37&lt;&gt;INT(G37)),"",G37/D37))))</f>
      </c>
      <c r="L37" s="15" t="str">
        <f t="shared" si="2">IF(B37="","",IF(C37="N",IF(H37="","Add approved N/A reference","N/A documented"),IF(C37&lt;&gt;"Y","Select Y / N",IF(COUNT(D37:G37)&lt;4,"Enter all four counts",IF(OR(D37&lt;0,E37&lt;0,F37&lt;0,G37&lt;0,E37&gt;D37,F37&gt;E37,G37&gt;F37,D37&lt;&gt;INT(D37),E37&lt;&gt;INT(E37),F37&lt;&gt;INT(F37),G37&lt;&gt;INT(G37)),"Review record counts",IF(D37=0,"Set expected count or justify zero scope","Counts consistent"))))))</f>
      </c>
    </row>
    <row r="38" spans="1:12" ht="24" customHeight="1">
      <c r="A38" s="15" t="str">
        <f t="shared" si="0"/>
        <v/>
      </c>
      <c r="B38" s="13"/>
      <c r="C38" s="13"/>
      <c r="D38" s="20"/>
      <c r="E38" s="20"/>
      <c r="F38" s="20"/>
      <c r="G38" s="20"/>
      <c r="H38" s="13"/>
      <c r="I38" s="13"/>
      <c r="J38" s="17"/>
      <c r="K38" s="21" t="str">
        <f t="shared" si="1">IF(B38="","",IF(C38="N","N/A",IF(OR(C38&lt;&gt;"Y",COUNT(D38:G38)&lt;4),"",IF(OR(D38&lt;=0,E38&lt;0,F38&lt;0,G38&lt;0,E38&gt;D38,F38&gt;E38,G38&gt;F38,D38&lt;&gt;INT(D38),E38&lt;&gt;INT(E38),F38&lt;&gt;INT(F38),G38&lt;&gt;INT(G38)),"",G38/D38))))</f>
      </c>
      <c r="L38" s="15" t="str">
        <f t="shared" si="2">IF(B38="","",IF(C38="N",IF(H38="","Add approved N/A reference","N/A documented"),IF(C38&lt;&gt;"Y","Select Y / N",IF(COUNT(D38:G38)&lt;4,"Enter all four counts",IF(OR(D38&lt;0,E38&lt;0,F38&lt;0,G38&lt;0,E38&gt;D38,F38&gt;E38,G38&gt;F38,D38&lt;&gt;INT(D38),E38&lt;&gt;INT(E38),F38&lt;&gt;INT(F38),G38&lt;&gt;INT(G38)),"Review record counts",IF(D38=0,"Set expected count or justify zero scope","Counts consistent"))))))</f>
      </c>
    </row>
    <row r="39" spans="1:12" ht="24" customHeight="1">
      <c r="A39" s="15" t="str">
        <f t="shared" si="0"/>
        <v/>
      </c>
      <c r="B39" s="13"/>
      <c r="C39" s="13"/>
      <c r="D39" s="20"/>
      <c r="E39" s="20"/>
      <c r="F39" s="20"/>
      <c r="G39" s="20"/>
      <c r="H39" s="13"/>
      <c r="I39" s="13"/>
      <c r="J39" s="17"/>
      <c r="K39" s="21" t="str">
        <f t="shared" si="1">IF(B39="","",IF(C39="N","N/A",IF(OR(C39&lt;&gt;"Y",COUNT(D39:G39)&lt;4),"",IF(OR(D39&lt;=0,E39&lt;0,F39&lt;0,G39&lt;0,E39&gt;D39,F39&gt;E39,G39&gt;F39,D39&lt;&gt;INT(D39),E39&lt;&gt;INT(E39),F39&lt;&gt;INT(F39),G39&lt;&gt;INT(G39)),"",G39/D39))))</f>
      </c>
      <c r="L39" s="15" t="str">
        <f t="shared" si="2">IF(B39="","",IF(C39="N",IF(H39="","Add approved N/A reference","N/A documented"),IF(C39&lt;&gt;"Y","Select Y / N",IF(COUNT(D39:G39)&lt;4,"Enter all four counts",IF(OR(D39&lt;0,E39&lt;0,F39&lt;0,G39&lt;0,E39&gt;D39,F39&gt;E39,G39&gt;F39,D39&lt;&gt;INT(D39),E39&lt;&gt;INT(E39),F39&lt;&gt;INT(F39),G39&lt;&gt;INT(G39)),"Review record counts",IF(D39=0,"Set expected count or justify zero scope","Counts consistent"))))))</f>
      </c>
    </row>
    <row r="40" spans="1:12" ht="24" customHeight="1">
      <c r="A40" s="15" t="str">
        <f t="shared" si="0"/>
        <v/>
      </c>
      <c r="B40" s="13"/>
      <c r="C40" s="13"/>
      <c r="D40" s="20"/>
      <c r="E40" s="20"/>
      <c r="F40" s="20"/>
      <c r="G40" s="20"/>
      <c r="H40" s="13"/>
      <c r="I40" s="13"/>
      <c r="J40" s="17"/>
      <c r="K40" s="21" t="str">
        <f t="shared" si="1">IF(B40="","",IF(C40="N","N/A",IF(OR(C40&lt;&gt;"Y",COUNT(D40:G40)&lt;4),"",IF(OR(D40&lt;=0,E40&lt;0,F40&lt;0,G40&lt;0,E40&gt;D40,F40&gt;E40,G40&gt;F40,D40&lt;&gt;INT(D40),E40&lt;&gt;INT(E40),F40&lt;&gt;INT(F40),G40&lt;&gt;INT(G40)),"",G40/D40))))</f>
      </c>
      <c r="L40" s="15" t="str">
        <f t="shared" si="2">IF(B40="","",IF(C40="N",IF(H40="","Add approved N/A reference","N/A documented"),IF(C40&lt;&gt;"Y","Select Y / N",IF(COUNT(D40:G40)&lt;4,"Enter all four counts",IF(OR(D40&lt;0,E40&lt;0,F40&lt;0,G40&lt;0,E40&gt;D40,F40&gt;E40,G40&gt;F40,D40&lt;&gt;INT(D40),E40&lt;&gt;INT(E40),F40&lt;&gt;INT(F40),G40&lt;&gt;INT(G40)),"Review record counts",IF(D40=0,"Set expected count or justify zero scope","Counts consistent"))))))</f>
      </c>
    </row>
    <row r="41" spans="1:12" ht="24" customHeight="1">
      <c r="A41" s="15" t="str">
        <f t="shared" si="0"/>
        <v/>
      </c>
      <c r="B41" s="13"/>
      <c r="C41" s="13"/>
      <c r="D41" s="20"/>
      <c r="E41" s="20"/>
      <c r="F41" s="20"/>
      <c r="G41" s="20"/>
      <c r="H41" s="13"/>
      <c r="I41" s="13"/>
      <c r="J41" s="17"/>
      <c r="K41" s="21" t="str">
        <f t="shared" si="1">IF(B41="","",IF(C41="N","N/A",IF(OR(C41&lt;&gt;"Y",COUNT(D41:G41)&lt;4),"",IF(OR(D41&lt;=0,E41&lt;0,F41&lt;0,G41&lt;0,E41&gt;D41,F41&gt;E41,G41&gt;F41,D41&lt;&gt;INT(D41),E41&lt;&gt;INT(E41),F41&lt;&gt;INT(F41),G41&lt;&gt;INT(G41)),"",G41/D41))))</f>
      </c>
      <c r="L41" s="15" t="str">
        <f t="shared" si="2">IF(B41="","",IF(C41="N",IF(H41="","Add approved N/A reference","N/A documented"),IF(C41&lt;&gt;"Y","Select Y / N",IF(COUNT(D41:G41)&lt;4,"Enter all four counts",IF(OR(D41&lt;0,E41&lt;0,F41&lt;0,G41&lt;0,E41&gt;D41,F41&gt;E41,G41&gt;F41,D41&lt;&gt;INT(D41),E41&lt;&gt;INT(E41),F41&lt;&gt;INT(F41),G41&lt;&gt;INT(G41)),"Review record counts",IF(D41=0,"Set expected count or justify zero scope","Counts consistent"))))))</f>
      </c>
    </row>
    <row r="42" spans="1:12" ht="24" customHeight="1">
      <c r="A42" s="15" t="str">
        <f t="shared" si="0"/>
        <v/>
      </c>
      <c r="B42" s="13"/>
      <c r="C42" s="13"/>
      <c r="D42" s="20"/>
      <c r="E42" s="20"/>
      <c r="F42" s="20"/>
      <c r="G42" s="20"/>
      <c r="H42" s="13"/>
      <c r="I42" s="13"/>
      <c r="J42" s="17"/>
      <c r="K42" s="21" t="str">
        <f t="shared" si="1">IF(B42="","",IF(C42="N","N/A",IF(OR(C42&lt;&gt;"Y",COUNT(D42:G42)&lt;4),"",IF(OR(D42&lt;=0,E42&lt;0,F42&lt;0,G42&lt;0,E42&gt;D42,F42&gt;E42,G42&gt;F42,D42&lt;&gt;INT(D42),E42&lt;&gt;INT(E42),F42&lt;&gt;INT(F42),G42&lt;&gt;INT(G42)),"",G42/D42))))</f>
      </c>
      <c r="L42" s="15" t="str">
        <f t="shared" si="2">IF(B42="","",IF(C42="N",IF(H42="","Add approved N/A reference","N/A documented"),IF(C42&lt;&gt;"Y","Select Y / N",IF(COUNT(D42:G42)&lt;4,"Enter all four counts",IF(OR(D42&lt;0,E42&lt;0,F42&lt;0,G42&lt;0,E42&gt;D42,F42&gt;E42,G42&gt;F42,D42&lt;&gt;INT(D42),E42&lt;&gt;INT(E42),F42&lt;&gt;INT(F42),G42&lt;&gt;INT(G42)),"Review record counts",IF(D42=0,"Set expected count or justify zero scope","Counts consistent"))))))</f>
      </c>
    </row>
    <row r="43" spans="1:12" ht="24" customHeight="1">
      <c r="A43" s="15" t="str">
        <f t="shared" si="0"/>
        <v/>
      </c>
      <c r="B43" s="13"/>
      <c r="C43" s="13"/>
      <c r="D43" s="20"/>
      <c r="E43" s="20"/>
      <c r="F43" s="20"/>
      <c r="G43" s="20"/>
      <c r="H43" s="13"/>
      <c r="I43" s="13"/>
      <c r="J43" s="17"/>
      <c r="K43" s="21" t="str">
        <f t="shared" si="1">IF(B43="","",IF(C43="N","N/A",IF(OR(C43&lt;&gt;"Y",COUNT(D43:G43)&lt;4),"",IF(OR(D43&lt;=0,E43&lt;0,F43&lt;0,G43&lt;0,E43&gt;D43,F43&gt;E43,G43&gt;F43,D43&lt;&gt;INT(D43),E43&lt;&gt;INT(E43),F43&lt;&gt;INT(F43),G43&lt;&gt;INT(G43)),"",G43/D43))))</f>
      </c>
      <c r="L43" s="15" t="str">
        <f t="shared" si="2">IF(B43="","",IF(C43="N",IF(H43="","Add approved N/A reference","N/A documented"),IF(C43&lt;&gt;"Y","Select Y / N",IF(COUNT(D43:G43)&lt;4,"Enter all four counts",IF(OR(D43&lt;0,E43&lt;0,F43&lt;0,G43&lt;0,E43&gt;D43,F43&gt;E43,G43&gt;F43,D43&lt;&gt;INT(D43),E43&lt;&gt;INT(E43),F43&lt;&gt;INT(F43),G43&lt;&gt;INT(G43)),"Review record counts",IF(D43=0,"Set expected count or justify zero scope","Counts consistent"))))))</f>
      </c>
    </row>
    <row r="44" spans="1:12" ht="24" customHeight="1">
      <c r="A44" s="15" t="str">
        <f t="shared" si="0"/>
        <v/>
      </c>
      <c r="B44" s="13"/>
      <c r="C44" s="13"/>
      <c r="D44" s="20"/>
      <c r="E44" s="20"/>
      <c r="F44" s="20"/>
      <c r="G44" s="20"/>
      <c r="H44" s="13"/>
      <c r="I44" s="13"/>
      <c r="J44" s="17"/>
      <c r="K44" s="21" t="str">
        <f t="shared" si="1">IF(B44="","",IF(C44="N","N/A",IF(OR(C44&lt;&gt;"Y",COUNT(D44:G44)&lt;4),"",IF(OR(D44&lt;=0,E44&lt;0,F44&lt;0,G44&lt;0,E44&gt;D44,F44&gt;E44,G44&gt;F44,D44&lt;&gt;INT(D44),E44&lt;&gt;INT(E44),F44&lt;&gt;INT(F44),G44&lt;&gt;INT(G44)),"",G44/D44))))</f>
      </c>
      <c r="L44" s="15" t="str">
        <f t="shared" si="2">IF(B44="","",IF(C44="N",IF(H44="","Add approved N/A reference","N/A documented"),IF(C44&lt;&gt;"Y","Select Y / N",IF(COUNT(D44:G44)&lt;4,"Enter all four counts",IF(OR(D44&lt;0,E44&lt;0,F44&lt;0,G44&lt;0,E44&gt;D44,F44&gt;E44,G44&gt;F44,D44&lt;&gt;INT(D44),E44&lt;&gt;INT(E44),F44&lt;&gt;INT(F44),G44&lt;&gt;INT(G44)),"Review record counts",IF(D44=0,"Set expected count or justify zero scope","Counts consistent"))))))</f>
      </c>
    </row>
    <row r="45" spans="1:12" ht="24" customHeight="1">
      <c r="A45" s="15" t="str">
        <f t="shared" ref="A45:A76" si="3">IF(B45="","",ROW()-12)</f>
        <v/>
      </c>
      <c r="B45" s="13"/>
      <c r="C45" s="13"/>
      <c r="D45" s="20"/>
      <c r="E45" s="20"/>
      <c r="F45" s="20"/>
      <c r="G45" s="20"/>
      <c r="H45" s="13"/>
      <c r="I45" s="13"/>
      <c r="J45" s="17"/>
      <c r="K45" s="21" t="str">
        <f t="shared" ref="K45:K76" si="4">IF(B45="","",IF(C45="N","N/A",IF(OR(C45&lt;&gt;"Y",COUNT(D45:G45)&lt;4),"",IF(OR(D45&lt;=0,E45&lt;0,F45&lt;0,G45&lt;0,E45&gt;D45,F45&gt;E45,G45&gt;F45,D45&lt;&gt;INT(D45),E45&lt;&gt;INT(E45),F45&lt;&gt;INT(F45),G45&lt;&gt;INT(G45)),"",G45/D45))))</f>
      </c>
      <c r="L45" s="15" t="str">
        <f t="shared" ref="L45:L76" si="5">IF(B45="","",IF(C45="N",IF(H45="","Add approved N/A reference","N/A documented"),IF(C45&lt;&gt;"Y","Select Y / N",IF(COUNT(D45:G45)&lt;4,"Enter all four counts",IF(OR(D45&lt;0,E45&lt;0,F45&lt;0,G45&lt;0,E45&gt;D45,F45&gt;E45,G45&gt;F45,D45&lt;&gt;INT(D45),E45&lt;&gt;INT(E45),F45&lt;&gt;INT(F45),G45&lt;&gt;INT(G45)),"Review record counts",IF(D45=0,"Set expected count or justify zero scope","Counts consistent"))))))</f>
      </c>
    </row>
    <row r="46" spans="1:12" ht="24" customHeight="1">
      <c r="A46" s="15" t="str">
        <f t="shared" si="3"/>
        <v/>
      </c>
      <c r="B46" s="13"/>
      <c r="C46" s="13"/>
      <c r="D46" s="20"/>
      <c r="E46" s="20"/>
      <c r="F46" s="20"/>
      <c r="G46" s="20"/>
      <c r="H46" s="13"/>
      <c r="I46" s="13"/>
      <c r="J46" s="17"/>
      <c r="K46" s="21" t="str">
        <f t="shared" si="4">IF(B46="","",IF(C46="N","N/A",IF(OR(C46&lt;&gt;"Y",COUNT(D46:G46)&lt;4),"",IF(OR(D46&lt;=0,E46&lt;0,F46&lt;0,G46&lt;0,E46&gt;D46,F46&gt;E46,G46&gt;F46,D46&lt;&gt;INT(D46),E46&lt;&gt;INT(E46),F46&lt;&gt;INT(F46),G46&lt;&gt;INT(G46)),"",G46/D46))))</f>
      </c>
      <c r="L46" s="15" t="str">
        <f t="shared" si="5">IF(B46="","",IF(C46="N",IF(H46="","Add approved N/A reference","N/A documented"),IF(C46&lt;&gt;"Y","Select Y / N",IF(COUNT(D46:G46)&lt;4,"Enter all four counts",IF(OR(D46&lt;0,E46&lt;0,F46&lt;0,G46&lt;0,E46&gt;D46,F46&gt;E46,G46&gt;F46,D46&lt;&gt;INT(D46),E46&lt;&gt;INT(E46),F46&lt;&gt;INT(F46),G46&lt;&gt;INT(G46)),"Review record counts",IF(D46=0,"Set expected count or justify zero scope","Counts consistent"))))))</f>
      </c>
    </row>
    <row r="47" spans="1:12" ht="24" customHeight="1">
      <c r="A47" s="15" t="str">
        <f t="shared" si="3"/>
        <v/>
      </c>
      <c r="B47" s="13"/>
      <c r="C47" s="13"/>
      <c r="D47" s="20"/>
      <c r="E47" s="20"/>
      <c r="F47" s="20"/>
      <c r="G47" s="20"/>
      <c r="H47" s="13"/>
      <c r="I47" s="13"/>
      <c r="J47" s="17"/>
      <c r="K47" s="21" t="str">
        <f t="shared" si="4">IF(B47="","",IF(C47="N","N/A",IF(OR(C47&lt;&gt;"Y",COUNT(D47:G47)&lt;4),"",IF(OR(D47&lt;=0,E47&lt;0,F47&lt;0,G47&lt;0,E47&gt;D47,F47&gt;E47,G47&gt;F47,D47&lt;&gt;INT(D47),E47&lt;&gt;INT(E47),F47&lt;&gt;INT(F47),G47&lt;&gt;INT(G47)),"",G47/D47))))</f>
      </c>
      <c r="L47" s="15" t="str">
        <f t="shared" si="5">IF(B47="","",IF(C47="N",IF(H47="","Add approved N/A reference","N/A documented"),IF(C47&lt;&gt;"Y","Select Y / N",IF(COUNT(D47:G47)&lt;4,"Enter all four counts",IF(OR(D47&lt;0,E47&lt;0,F47&lt;0,G47&lt;0,E47&gt;D47,F47&gt;E47,G47&gt;F47,D47&lt;&gt;INT(D47),E47&lt;&gt;INT(E47),F47&lt;&gt;INT(F47),G47&lt;&gt;INT(G47)),"Review record counts",IF(D47=0,"Set expected count or justify zero scope","Counts consistent"))))))</f>
      </c>
    </row>
    <row r="48" spans="1:12" ht="24" customHeight="1">
      <c r="A48" s="15" t="str">
        <f t="shared" si="3"/>
        <v/>
      </c>
      <c r="B48" s="13"/>
      <c r="C48" s="13"/>
      <c r="D48" s="20"/>
      <c r="E48" s="20"/>
      <c r="F48" s="20"/>
      <c r="G48" s="20"/>
      <c r="H48" s="13"/>
      <c r="I48" s="13"/>
      <c r="J48" s="17"/>
      <c r="K48" s="21" t="str">
        <f t="shared" si="4">IF(B48="","",IF(C48="N","N/A",IF(OR(C48&lt;&gt;"Y",COUNT(D48:G48)&lt;4),"",IF(OR(D48&lt;=0,E48&lt;0,F48&lt;0,G48&lt;0,E48&gt;D48,F48&gt;E48,G48&gt;F48,D48&lt;&gt;INT(D48),E48&lt;&gt;INT(E48),F48&lt;&gt;INT(F48),G48&lt;&gt;INT(G48)),"",G48/D48))))</f>
      </c>
      <c r="L48" s="15" t="str">
        <f t="shared" si="5">IF(B48="","",IF(C48="N",IF(H48="","Add approved N/A reference","N/A documented"),IF(C48&lt;&gt;"Y","Select Y / N",IF(COUNT(D48:G48)&lt;4,"Enter all four counts",IF(OR(D48&lt;0,E48&lt;0,F48&lt;0,G48&lt;0,E48&gt;D48,F48&gt;E48,G48&gt;F48,D48&lt;&gt;INT(D48),E48&lt;&gt;INT(E48),F48&lt;&gt;INT(F48),G48&lt;&gt;INT(G48)),"Review record counts",IF(D48=0,"Set expected count or justify zero scope","Counts consistent"))))))</f>
      </c>
    </row>
    <row r="49" spans="1:12" ht="24" customHeight="1">
      <c r="A49" s="15" t="str">
        <f t="shared" si="3"/>
        <v/>
      </c>
      <c r="B49" s="13"/>
      <c r="C49" s="13"/>
      <c r="D49" s="20"/>
      <c r="E49" s="20"/>
      <c r="F49" s="20"/>
      <c r="G49" s="20"/>
      <c r="H49" s="13"/>
      <c r="I49" s="13"/>
      <c r="J49" s="17"/>
      <c r="K49" s="21" t="str">
        <f t="shared" si="4">IF(B49="","",IF(C49="N","N/A",IF(OR(C49&lt;&gt;"Y",COUNT(D49:G49)&lt;4),"",IF(OR(D49&lt;=0,E49&lt;0,F49&lt;0,G49&lt;0,E49&gt;D49,F49&gt;E49,G49&gt;F49,D49&lt;&gt;INT(D49),E49&lt;&gt;INT(E49),F49&lt;&gt;INT(F49),G49&lt;&gt;INT(G49)),"",G49/D49))))</f>
      </c>
      <c r="L49" s="15" t="str">
        <f t="shared" si="5">IF(B49="","",IF(C49="N",IF(H49="","Add approved N/A reference","N/A documented"),IF(C49&lt;&gt;"Y","Select Y / N",IF(COUNT(D49:G49)&lt;4,"Enter all four counts",IF(OR(D49&lt;0,E49&lt;0,F49&lt;0,G49&lt;0,E49&gt;D49,F49&gt;E49,G49&gt;F49,D49&lt;&gt;INT(D49),E49&lt;&gt;INT(E49),F49&lt;&gt;INT(F49),G49&lt;&gt;INT(G49)),"Review record counts",IF(D49=0,"Set expected count or justify zero scope","Counts consistent"))))))</f>
      </c>
    </row>
    <row r="50" spans="1:12" ht="24" customHeight="1">
      <c r="A50" s="15" t="str">
        <f t="shared" si="3"/>
        <v/>
      </c>
      <c r="B50" s="13"/>
      <c r="C50" s="13"/>
      <c r="D50" s="20"/>
      <c r="E50" s="20"/>
      <c r="F50" s="20"/>
      <c r="G50" s="20"/>
      <c r="H50" s="13"/>
      <c r="I50" s="13"/>
      <c r="J50" s="17"/>
      <c r="K50" s="21" t="str">
        <f t="shared" si="4">IF(B50="","",IF(C50="N","N/A",IF(OR(C50&lt;&gt;"Y",COUNT(D50:G50)&lt;4),"",IF(OR(D50&lt;=0,E50&lt;0,F50&lt;0,G50&lt;0,E50&gt;D50,F50&gt;E50,G50&gt;F50,D50&lt;&gt;INT(D50),E50&lt;&gt;INT(E50),F50&lt;&gt;INT(F50),G50&lt;&gt;INT(G50)),"",G50/D50))))</f>
      </c>
      <c r="L50" s="15" t="str">
        <f t="shared" si="5">IF(B50="","",IF(C50="N",IF(H50="","Add approved N/A reference","N/A documented"),IF(C50&lt;&gt;"Y","Select Y / N",IF(COUNT(D50:G50)&lt;4,"Enter all four counts",IF(OR(D50&lt;0,E50&lt;0,F50&lt;0,G50&lt;0,E50&gt;D50,F50&gt;E50,G50&gt;F50,D50&lt;&gt;INT(D50),E50&lt;&gt;INT(E50),F50&lt;&gt;INT(F50),G50&lt;&gt;INT(G50)),"Review record counts",IF(D50=0,"Set expected count or justify zero scope","Counts consistent"))))))</f>
      </c>
    </row>
    <row r="51" spans="1:12" ht="24" customHeight="1">
      <c r="A51" s="15" t="str">
        <f t="shared" si="3"/>
        <v/>
      </c>
      <c r="B51" s="13"/>
      <c r="C51" s="13"/>
      <c r="D51" s="20"/>
      <c r="E51" s="20"/>
      <c r="F51" s="20"/>
      <c r="G51" s="20"/>
      <c r="H51" s="13"/>
      <c r="I51" s="13"/>
      <c r="J51" s="17"/>
      <c r="K51" s="21" t="str">
        <f t="shared" si="4">IF(B51="","",IF(C51="N","N/A",IF(OR(C51&lt;&gt;"Y",COUNT(D51:G51)&lt;4),"",IF(OR(D51&lt;=0,E51&lt;0,F51&lt;0,G51&lt;0,E51&gt;D51,F51&gt;E51,G51&gt;F51,D51&lt;&gt;INT(D51),E51&lt;&gt;INT(E51),F51&lt;&gt;INT(F51),G51&lt;&gt;INT(G51)),"",G51/D51))))</f>
      </c>
      <c r="L51" s="15" t="str">
        <f t="shared" si="5">IF(B51="","",IF(C51="N",IF(H51="","Add approved N/A reference","N/A documented"),IF(C51&lt;&gt;"Y","Select Y / N",IF(COUNT(D51:G51)&lt;4,"Enter all four counts",IF(OR(D51&lt;0,E51&lt;0,F51&lt;0,G51&lt;0,E51&gt;D51,F51&gt;E51,G51&gt;F51,D51&lt;&gt;INT(D51),E51&lt;&gt;INT(E51),F51&lt;&gt;INT(F51),G51&lt;&gt;INT(G51)),"Review record counts",IF(D51=0,"Set expected count or justify zero scope","Counts consistent"))))))</f>
      </c>
    </row>
    <row r="52" spans="1:12" ht="24" customHeight="1">
      <c r="A52" s="15" t="str">
        <f t="shared" si="3"/>
        <v/>
      </c>
      <c r="B52" s="13"/>
      <c r="C52" s="13"/>
      <c r="D52" s="20"/>
      <c r="E52" s="20"/>
      <c r="F52" s="20"/>
      <c r="G52" s="20"/>
      <c r="H52" s="13"/>
      <c r="I52" s="13"/>
      <c r="J52" s="17"/>
      <c r="K52" s="21" t="str">
        <f t="shared" si="4">IF(B52="","",IF(C52="N","N/A",IF(OR(C52&lt;&gt;"Y",COUNT(D52:G52)&lt;4),"",IF(OR(D52&lt;=0,E52&lt;0,F52&lt;0,G52&lt;0,E52&gt;D52,F52&gt;E52,G52&gt;F52,D52&lt;&gt;INT(D52),E52&lt;&gt;INT(E52),F52&lt;&gt;INT(F52),G52&lt;&gt;INT(G52)),"",G52/D52))))</f>
      </c>
      <c r="L52" s="15" t="str">
        <f t="shared" si="5">IF(B52="","",IF(C52="N",IF(H52="","Add approved N/A reference","N/A documented"),IF(C52&lt;&gt;"Y","Select Y / N",IF(COUNT(D52:G52)&lt;4,"Enter all four counts",IF(OR(D52&lt;0,E52&lt;0,F52&lt;0,G52&lt;0,E52&gt;D52,F52&gt;E52,G52&gt;F52,D52&lt;&gt;INT(D52),E52&lt;&gt;INT(E52),F52&lt;&gt;INT(F52),G52&lt;&gt;INT(G52)),"Review record counts",IF(D52=0,"Set expected count or justify zero scope","Counts consistent"))))))</f>
      </c>
    </row>
    <row r="53" spans="1:12" ht="24" customHeight="1">
      <c r="A53" s="15" t="str">
        <f t="shared" si="3"/>
        <v/>
      </c>
      <c r="B53" s="13"/>
      <c r="C53" s="13"/>
      <c r="D53" s="20"/>
      <c r="E53" s="20"/>
      <c r="F53" s="20"/>
      <c r="G53" s="20"/>
      <c r="H53" s="13"/>
      <c r="I53" s="13"/>
      <c r="J53" s="17"/>
      <c r="K53" s="21" t="str">
        <f t="shared" si="4">IF(B53="","",IF(C53="N","N/A",IF(OR(C53&lt;&gt;"Y",COUNT(D53:G53)&lt;4),"",IF(OR(D53&lt;=0,E53&lt;0,F53&lt;0,G53&lt;0,E53&gt;D53,F53&gt;E53,G53&gt;F53,D53&lt;&gt;INT(D53),E53&lt;&gt;INT(E53),F53&lt;&gt;INT(F53),G53&lt;&gt;INT(G53)),"",G53/D53))))</f>
      </c>
      <c r="L53" s="15" t="str">
        <f t="shared" si="5">IF(B53="","",IF(C53="N",IF(H53="","Add approved N/A reference","N/A documented"),IF(C53&lt;&gt;"Y","Select Y / N",IF(COUNT(D53:G53)&lt;4,"Enter all four counts",IF(OR(D53&lt;0,E53&lt;0,F53&lt;0,G53&lt;0,E53&gt;D53,F53&gt;E53,G53&gt;F53,D53&lt;&gt;INT(D53),E53&lt;&gt;INT(E53),F53&lt;&gt;INT(F53),G53&lt;&gt;INT(G53)),"Review record counts",IF(D53=0,"Set expected count or justify zero scope","Counts consistent"))))))</f>
      </c>
    </row>
    <row r="54" spans="1:12" ht="24" customHeight="1">
      <c r="A54" s="15" t="str">
        <f t="shared" si="3"/>
        <v/>
      </c>
      <c r="B54" s="13"/>
      <c r="C54" s="13"/>
      <c r="D54" s="20"/>
      <c r="E54" s="20"/>
      <c r="F54" s="20"/>
      <c r="G54" s="20"/>
      <c r="H54" s="13"/>
      <c r="I54" s="13"/>
      <c r="J54" s="17"/>
      <c r="K54" s="21" t="str">
        <f t="shared" si="4">IF(B54="","",IF(C54="N","N/A",IF(OR(C54&lt;&gt;"Y",COUNT(D54:G54)&lt;4),"",IF(OR(D54&lt;=0,E54&lt;0,F54&lt;0,G54&lt;0,E54&gt;D54,F54&gt;E54,G54&gt;F54,D54&lt;&gt;INT(D54),E54&lt;&gt;INT(E54),F54&lt;&gt;INT(F54),G54&lt;&gt;INT(G54)),"",G54/D54))))</f>
      </c>
      <c r="L54" s="15" t="str">
        <f t="shared" si="5">IF(B54="","",IF(C54="N",IF(H54="","Add approved N/A reference","N/A documented"),IF(C54&lt;&gt;"Y","Select Y / N",IF(COUNT(D54:G54)&lt;4,"Enter all four counts",IF(OR(D54&lt;0,E54&lt;0,F54&lt;0,G54&lt;0,E54&gt;D54,F54&gt;E54,G54&gt;F54,D54&lt;&gt;INT(D54),E54&lt;&gt;INT(E54),F54&lt;&gt;INT(F54),G54&lt;&gt;INT(G54)),"Review record counts",IF(D54=0,"Set expected count or justify zero scope","Counts consistent"))))))</f>
      </c>
    </row>
    <row r="55" spans="1:12" ht="24" customHeight="1">
      <c r="A55" s="15" t="str">
        <f t="shared" si="3"/>
        <v/>
      </c>
      <c r="B55" s="13"/>
      <c r="C55" s="13"/>
      <c r="D55" s="20"/>
      <c r="E55" s="20"/>
      <c r="F55" s="20"/>
      <c r="G55" s="20"/>
      <c r="H55" s="13"/>
      <c r="I55" s="13"/>
      <c r="J55" s="17"/>
      <c r="K55" s="21" t="str">
        <f t="shared" si="4">IF(B55="","",IF(C55="N","N/A",IF(OR(C55&lt;&gt;"Y",COUNT(D55:G55)&lt;4),"",IF(OR(D55&lt;=0,E55&lt;0,F55&lt;0,G55&lt;0,E55&gt;D55,F55&gt;E55,G55&gt;F55,D55&lt;&gt;INT(D55),E55&lt;&gt;INT(E55),F55&lt;&gt;INT(F55),G55&lt;&gt;INT(G55)),"",G55/D55))))</f>
      </c>
      <c r="L55" s="15" t="str">
        <f t="shared" si="5">IF(B55="","",IF(C55="N",IF(H55="","Add approved N/A reference","N/A documented"),IF(C55&lt;&gt;"Y","Select Y / N",IF(COUNT(D55:G55)&lt;4,"Enter all four counts",IF(OR(D55&lt;0,E55&lt;0,F55&lt;0,G55&lt;0,E55&gt;D55,F55&gt;E55,G55&gt;F55,D55&lt;&gt;INT(D55),E55&lt;&gt;INT(E55),F55&lt;&gt;INT(F55),G55&lt;&gt;INT(G55)),"Review record counts",IF(D55=0,"Set expected count or justify zero scope","Counts consistent"))))))</f>
      </c>
    </row>
    <row r="56" spans="1:12" ht="24" customHeight="1">
      <c r="A56" s="15" t="str">
        <f t="shared" si="3"/>
        <v/>
      </c>
      <c r="B56" s="13"/>
      <c r="C56" s="13"/>
      <c r="D56" s="20"/>
      <c r="E56" s="20"/>
      <c r="F56" s="20"/>
      <c r="G56" s="20"/>
      <c r="H56" s="13"/>
      <c r="I56" s="13"/>
      <c r="J56" s="17"/>
      <c r="K56" s="21" t="str">
        <f t="shared" si="4">IF(B56="","",IF(C56="N","N/A",IF(OR(C56&lt;&gt;"Y",COUNT(D56:G56)&lt;4),"",IF(OR(D56&lt;=0,E56&lt;0,F56&lt;0,G56&lt;0,E56&gt;D56,F56&gt;E56,G56&gt;F56,D56&lt;&gt;INT(D56),E56&lt;&gt;INT(E56),F56&lt;&gt;INT(F56),G56&lt;&gt;INT(G56)),"",G56/D56))))</f>
      </c>
      <c r="L56" s="15" t="str">
        <f t="shared" si="5">IF(B56="","",IF(C56="N",IF(H56="","Add approved N/A reference","N/A documented"),IF(C56&lt;&gt;"Y","Select Y / N",IF(COUNT(D56:G56)&lt;4,"Enter all four counts",IF(OR(D56&lt;0,E56&lt;0,F56&lt;0,G56&lt;0,E56&gt;D56,F56&gt;E56,G56&gt;F56,D56&lt;&gt;INT(D56),E56&lt;&gt;INT(E56),F56&lt;&gt;INT(F56),G56&lt;&gt;INT(G56)),"Review record counts",IF(D56=0,"Set expected count or justify zero scope","Counts consistent"))))))</f>
      </c>
    </row>
    <row r="57" spans="1:12" ht="24" customHeight="1">
      <c r="A57" s="15" t="str">
        <f t="shared" si="3"/>
        <v/>
      </c>
      <c r="B57" s="13"/>
      <c r="C57" s="13"/>
      <c r="D57" s="20"/>
      <c r="E57" s="20"/>
      <c r="F57" s="20"/>
      <c r="G57" s="20"/>
      <c r="H57" s="13"/>
      <c r="I57" s="13"/>
      <c r="J57" s="17"/>
      <c r="K57" s="21" t="str">
        <f t="shared" si="4">IF(B57="","",IF(C57="N","N/A",IF(OR(C57&lt;&gt;"Y",COUNT(D57:G57)&lt;4),"",IF(OR(D57&lt;=0,E57&lt;0,F57&lt;0,G57&lt;0,E57&gt;D57,F57&gt;E57,G57&gt;F57,D57&lt;&gt;INT(D57),E57&lt;&gt;INT(E57),F57&lt;&gt;INT(F57),G57&lt;&gt;INT(G57)),"",G57/D57))))</f>
      </c>
      <c r="L57" s="15" t="str">
        <f t="shared" si="5">IF(B57="","",IF(C57="N",IF(H57="","Add approved N/A reference","N/A documented"),IF(C57&lt;&gt;"Y","Select Y / N",IF(COUNT(D57:G57)&lt;4,"Enter all four counts",IF(OR(D57&lt;0,E57&lt;0,F57&lt;0,G57&lt;0,E57&gt;D57,F57&gt;E57,G57&gt;F57,D57&lt;&gt;INT(D57),E57&lt;&gt;INT(E57),F57&lt;&gt;INT(F57),G57&lt;&gt;INT(G57)),"Review record counts",IF(D57=0,"Set expected count or justify zero scope","Counts consistent"))))))</f>
      </c>
    </row>
    <row r="58" spans="1:12" ht="24" customHeight="1">
      <c r="A58" s="15" t="str">
        <f t="shared" si="3"/>
        <v/>
      </c>
      <c r="B58" s="13"/>
      <c r="C58" s="13"/>
      <c r="D58" s="20"/>
      <c r="E58" s="20"/>
      <c r="F58" s="20"/>
      <c r="G58" s="20"/>
      <c r="H58" s="13"/>
      <c r="I58" s="13"/>
      <c r="J58" s="17"/>
      <c r="K58" s="21" t="str">
        <f t="shared" si="4">IF(B58="","",IF(C58="N","N/A",IF(OR(C58&lt;&gt;"Y",COUNT(D58:G58)&lt;4),"",IF(OR(D58&lt;=0,E58&lt;0,F58&lt;0,G58&lt;0,E58&gt;D58,F58&gt;E58,G58&gt;F58,D58&lt;&gt;INT(D58),E58&lt;&gt;INT(E58),F58&lt;&gt;INT(F58),G58&lt;&gt;INT(G58)),"",G58/D58))))</f>
      </c>
      <c r="L58" s="15" t="str">
        <f t="shared" si="5">IF(B58="","",IF(C58="N",IF(H58="","Add approved N/A reference","N/A documented"),IF(C58&lt;&gt;"Y","Select Y / N",IF(COUNT(D58:G58)&lt;4,"Enter all four counts",IF(OR(D58&lt;0,E58&lt;0,F58&lt;0,G58&lt;0,E58&gt;D58,F58&gt;E58,G58&gt;F58,D58&lt;&gt;INT(D58),E58&lt;&gt;INT(E58),F58&lt;&gt;INT(F58),G58&lt;&gt;INT(G58)),"Review record counts",IF(D58=0,"Set expected count or justify zero scope","Counts consistent"))))))</f>
      </c>
    </row>
    <row r="59" spans="1:12" ht="24" customHeight="1">
      <c r="A59" s="15" t="str">
        <f t="shared" si="3"/>
        <v/>
      </c>
      <c r="B59" s="13"/>
      <c r="C59" s="13"/>
      <c r="D59" s="20"/>
      <c r="E59" s="20"/>
      <c r="F59" s="20"/>
      <c r="G59" s="20"/>
      <c r="H59" s="13"/>
      <c r="I59" s="13"/>
      <c r="J59" s="17"/>
      <c r="K59" s="21" t="str">
        <f t="shared" si="4">IF(B59="","",IF(C59="N","N/A",IF(OR(C59&lt;&gt;"Y",COUNT(D59:G59)&lt;4),"",IF(OR(D59&lt;=0,E59&lt;0,F59&lt;0,G59&lt;0,E59&gt;D59,F59&gt;E59,G59&gt;F59,D59&lt;&gt;INT(D59),E59&lt;&gt;INT(E59),F59&lt;&gt;INT(F59),G59&lt;&gt;INT(G59)),"",G59/D59))))</f>
      </c>
      <c r="L59" s="15" t="str">
        <f t="shared" si="5">IF(B59="","",IF(C59="N",IF(H59="","Add approved N/A reference","N/A documented"),IF(C59&lt;&gt;"Y","Select Y / N",IF(COUNT(D59:G59)&lt;4,"Enter all four counts",IF(OR(D59&lt;0,E59&lt;0,F59&lt;0,G59&lt;0,E59&gt;D59,F59&gt;E59,G59&gt;F59,D59&lt;&gt;INT(D59),E59&lt;&gt;INT(E59),F59&lt;&gt;INT(F59),G59&lt;&gt;INT(G59)),"Review record counts",IF(D59=0,"Set expected count or justify zero scope","Counts consistent"))))))</f>
      </c>
    </row>
    <row r="60" spans="1:12" ht="24" customHeight="1">
      <c r="A60" s="15" t="str">
        <f t="shared" si="3"/>
        <v/>
      </c>
      <c r="B60" s="13"/>
      <c r="C60" s="13"/>
      <c r="D60" s="20"/>
      <c r="E60" s="20"/>
      <c r="F60" s="20"/>
      <c r="G60" s="20"/>
      <c r="H60" s="13"/>
      <c r="I60" s="13"/>
      <c r="J60" s="17"/>
      <c r="K60" s="21" t="str">
        <f t="shared" si="4">IF(B60="","",IF(C60="N","N/A",IF(OR(C60&lt;&gt;"Y",COUNT(D60:G60)&lt;4),"",IF(OR(D60&lt;=0,E60&lt;0,F60&lt;0,G60&lt;0,E60&gt;D60,F60&gt;E60,G60&gt;F60,D60&lt;&gt;INT(D60),E60&lt;&gt;INT(E60),F60&lt;&gt;INT(F60),G60&lt;&gt;INT(G60)),"",G60/D60))))</f>
      </c>
      <c r="L60" s="15" t="str">
        <f t="shared" si="5">IF(B60="","",IF(C60="N",IF(H60="","Add approved N/A reference","N/A documented"),IF(C60&lt;&gt;"Y","Select Y / N",IF(COUNT(D60:G60)&lt;4,"Enter all four counts",IF(OR(D60&lt;0,E60&lt;0,F60&lt;0,G60&lt;0,E60&gt;D60,F60&gt;E60,G60&gt;F60,D60&lt;&gt;INT(D60),E60&lt;&gt;INT(E60),F60&lt;&gt;INT(F60),G60&lt;&gt;INT(G60)),"Review record counts",IF(D60=0,"Set expected count or justify zero scope","Counts consistent"))))))</f>
      </c>
    </row>
    <row r="61" spans="1:12" ht="24" customHeight="1">
      <c r="A61" s="15" t="str">
        <f t="shared" si="3"/>
        <v/>
      </c>
      <c r="B61" s="13"/>
      <c r="C61" s="13"/>
      <c r="D61" s="20"/>
      <c r="E61" s="20"/>
      <c r="F61" s="20"/>
      <c r="G61" s="20"/>
      <c r="H61" s="13"/>
      <c r="I61" s="13"/>
      <c r="J61" s="17"/>
      <c r="K61" s="21" t="str">
        <f t="shared" si="4">IF(B61="","",IF(C61="N","N/A",IF(OR(C61&lt;&gt;"Y",COUNT(D61:G61)&lt;4),"",IF(OR(D61&lt;=0,E61&lt;0,F61&lt;0,G61&lt;0,E61&gt;D61,F61&gt;E61,G61&gt;F61,D61&lt;&gt;INT(D61),E61&lt;&gt;INT(E61),F61&lt;&gt;INT(F61),G61&lt;&gt;INT(G61)),"",G61/D61))))</f>
      </c>
      <c r="L61" s="15" t="str">
        <f t="shared" si="5">IF(B61="","",IF(C61="N",IF(H61="","Add approved N/A reference","N/A documented"),IF(C61&lt;&gt;"Y","Select Y / N",IF(COUNT(D61:G61)&lt;4,"Enter all four counts",IF(OR(D61&lt;0,E61&lt;0,F61&lt;0,G61&lt;0,E61&gt;D61,F61&gt;E61,G61&gt;F61,D61&lt;&gt;INT(D61),E61&lt;&gt;INT(E61),F61&lt;&gt;INT(F61),G61&lt;&gt;INT(G61)),"Review record counts",IF(D61=0,"Set expected count or justify zero scope","Counts consistent"))))))</f>
      </c>
    </row>
    <row r="62" spans="1:12" ht="24" customHeight="1">
      <c r="A62" s="15" t="str">
        <f t="shared" si="3"/>
        <v/>
      </c>
      <c r="B62" s="13"/>
      <c r="C62" s="13"/>
      <c r="D62" s="20"/>
      <c r="E62" s="20"/>
      <c r="F62" s="20"/>
      <c r="G62" s="20"/>
      <c r="H62" s="13"/>
      <c r="I62" s="13"/>
      <c r="J62" s="17"/>
      <c r="K62" s="21" t="str">
        <f t="shared" si="4">IF(B62="","",IF(C62="N","N/A",IF(OR(C62&lt;&gt;"Y",COUNT(D62:G62)&lt;4),"",IF(OR(D62&lt;=0,E62&lt;0,F62&lt;0,G62&lt;0,E62&gt;D62,F62&gt;E62,G62&gt;F62,D62&lt;&gt;INT(D62),E62&lt;&gt;INT(E62),F62&lt;&gt;INT(F62),G62&lt;&gt;INT(G62)),"",G62/D62))))</f>
      </c>
      <c r="L62" s="15" t="str">
        <f t="shared" si="5">IF(B62="","",IF(C62="N",IF(H62="","Add approved N/A reference","N/A documented"),IF(C62&lt;&gt;"Y","Select Y / N",IF(COUNT(D62:G62)&lt;4,"Enter all four counts",IF(OR(D62&lt;0,E62&lt;0,F62&lt;0,G62&lt;0,E62&gt;D62,F62&gt;E62,G62&gt;F62,D62&lt;&gt;INT(D62),E62&lt;&gt;INT(E62),F62&lt;&gt;INT(F62),G62&lt;&gt;INT(G62)),"Review record counts",IF(D62=0,"Set expected count or justify zero scope","Counts consistent"))))))</f>
      </c>
    </row>
    <row r="63" spans="1:12" ht="24" customHeight="1">
      <c r="A63" s="15" t="str">
        <f t="shared" si="3"/>
        <v/>
      </c>
      <c r="B63" s="13"/>
      <c r="C63" s="13"/>
      <c r="D63" s="20"/>
      <c r="E63" s="20"/>
      <c r="F63" s="20"/>
      <c r="G63" s="20"/>
      <c r="H63" s="13"/>
      <c r="I63" s="13"/>
      <c r="J63" s="17"/>
      <c r="K63" s="21" t="str">
        <f t="shared" si="4">IF(B63="","",IF(C63="N","N/A",IF(OR(C63&lt;&gt;"Y",COUNT(D63:G63)&lt;4),"",IF(OR(D63&lt;=0,E63&lt;0,F63&lt;0,G63&lt;0,E63&gt;D63,F63&gt;E63,G63&gt;F63,D63&lt;&gt;INT(D63),E63&lt;&gt;INT(E63),F63&lt;&gt;INT(F63),G63&lt;&gt;INT(G63)),"",G63/D63))))</f>
      </c>
      <c r="L63" s="15" t="str">
        <f t="shared" si="5">IF(B63="","",IF(C63="N",IF(H63="","Add approved N/A reference","N/A documented"),IF(C63&lt;&gt;"Y","Select Y / N",IF(COUNT(D63:G63)&lt;4,"Enter all four counts",IF(OR(D63&lt;0,E63&lt;0,F63&lt;0,G63&lt;0,E63&gt;D63,F63&gt;E63,G63&gt;F63,D63&lt;&gt;INT(D63),E63&lt;&gt;INT(E63),F63&lt;&gt;INT(F63),G63&lt;&gt;INT(G63)),"Review record counts",IF(D63=0,"Set expected count or justify zero scope","Counts consistent"))))))</f>
      </c>
    </row>
    <row r="64" spans="1:12" ht="24" customHeight="1">
      <c r="A64" s="15" t="str">
        <f t="shared" si="3"/>
        <v/>
      </c>
      <c r="B64" s="13"/>
      <c r="C64" s="13"/>
      <c r="D64" s="20"/>
      <c r="E64" s="20"/>
      <c r="F64" s="20"/>
      <c r="G64" s="20"/>
      <c r="H64" s="13"/>
      <c r="I64" s="13"/>
      <c r="J64" s="17"/>
      <c r="K64" s="21" t="str">
        <f t="shared" si="4">IF(B64="","",IF(C64="N","N/A",IF(OR(C64&lt;&gt;"Y",COUNT(D64:G64)&lt;4),"",IF(OR(D64&lt;=0,E64&lt;0,F64&lt;0,G64&lt;0,E64&gt;D64,F64&gt;E64,G64&gt;F64,D64&lt;&gt;INT(D64),E64&lt;&gt;INT(E64),F64&lt;&gt;INT(F64),G64&lt;&gt;INT(G64)),"",G64/D64))))</f>
      </c>
      <c r="L64" s="15" t="str">
        <f t="shared" si="5">IF(B64="","",IF(C64="N",IF(H64="","Add approved N/A reference","N/A documented"),IF(C64&lt;&gt;"Y","Select Y / N",IF(COUNT(D64:G64)&lt;4,"Enter all four counts",IF(OR(D64&lt;0,E64&lt;0,F64&lt;0,G64&lt;0,E64&gt;D64,F64&gt;E64,G64&gt;F64,D64&lt;&gt;INT(D64),E64&lt;&gt;INT(E64),F64&lt;&gt;INT(F64),G64&lt;&gt;INT(G64)),"Review record counts",IF(D64=0,"Set expected count or justify zero scope","Counts consistent"))))))</f>
      </c>
    </row>
    <row r="65" spans="1:12" ht="24" customHeight="1">
      <c r="A65" s="15" t="str">
        <f t="shared" si="3"/>
        <v/>
      </c>
      <c r="B65" s="13"/>
      <c r="C65" s="13"/>
      <c r="D65" s="20"/>
      <c r="E65" s="20"/>
      <c r="F65" s="20"/>
      <c r="G65" s="20"/>
      <c r="H65" s="13"/>
      <c r="I65" s="13"/>
      <c r="J65" s="17"/>
      <c r="K65" s="21" t="str">
        <f t="shared" si="4">IF(B65="","",IF(C65="N","N/A",IF(OR(C65&lt;&gt;"Y",COUNT(D65:G65)&lt;4),"",IF(OR(D65&lt;=0,E65&lt;0,F65&lt;0,G65&lt;0,E65&gt;D65,F65&gt;E65,G65&gt;F65,D65&lt;&gt;INT(D65),E65&lt;&gt;INT(E65),F65&lt;&gt;INT(F65),G65&lt;&gt;INT(G65)),"",G65/D65))))</f>
      </c>
      <c r="L65" s="15" t="str">
        <f t="shared" si="5">IF(B65="","",IF(C65="N",IF(H65="","Add approved N/A reference","N/A documented"),IF(C65&lt;&gt;"Y","Select Y / N",IF(COUNT(D65:G65)&lt;4,"Enter all four counts",IF(OR(D65&lt;0,E65&lt;0,F65&lt;0,G65&lt;0,E65&gt;D65,F65&gt;E65,G65&gt;F65,D65&lt;&gt;INT(D65),E65&lt;&gt;INT(E65),F65&lt;&gt;INT(F65),G65&lt;&gt;INT(G65)),"Review record counts",IF(D65=0,"Set expected count or justify zero scope","Counts consistent"))))))</f>
      </c>
    </row>
    <row r="66" spans="1:12" ht="24" customHeight="1">
      <c r="A66" s="15" t="str">
        <f t="shared" si="3"/>
        <v/>
      </c>
      <c r="B66" s="13"/>
      <c r="C66" s="13"/>
      <c r="D66" s="20"/>
      <c r="E66" s="20"/>
      <c r="F66" s="20"/>
      <c r="G66" s="20"/>
      <c r="H66" s="13"/>
      <c r="I66" s="13"/>
      <c r="J66" s="17"/>
      <c r="K66" s="21" t="str">
        <f t="shared" si="4">IF(B66="","",IF(C66="N","N/A",IF(OR(C66&lt;&gt;"Y",COUNT(D66:G66)&lt;4),"",IF(OR(D66&lt;=0,E66&lt;0,F66&lt;0,G66&lt;0,E66&gt;D66,F66&gt;E66,G66&gt;F66,D66&lt;&gt;INT(D66),E66&lt;&gt;INT(E66),F66&lt;&gt;INT(F66),G66&lt;&gt;INT(G66)),"",G66/D66))))</f>
      </c>
      <c r="L66" s="15" t="str">
        <f t="shared" si="5">IF(B66="","",IF(C66="N",IF(H66="","Add approved N/A reference","N/A documented"),IF(C66&lt;&gt;"Y","Select Y / N",IF(COUNT(D66:G66)&lt;4,"Enter all four counts",IF(OR(D66&lt;0,E66&lt;0,F66&lt;0,G66&lt;0,E66&gt;D66,F66&gt;E66,G66&gt;F66,D66&lt;&gt;INT(D66),E66&lt;&gt;INT(E66),F66&lt;&gt;INT(F66),G66&lt;&gt;INT(G66)),"Review record counts",IF(D66=0,"Set expected count or justify zero scope","Counts consistent"))))))</f>
      </c>
    </row>
    <row r="67" spans="1:12" ht="24" customHeight="1">
      <c r="A67" s="15" t="str">
        <f t="shared" si="3"/>
        <v/>
      </c>
      <c r="B67" s="13"/>
      <c r="C67" s="13"/>
      <c r="D67" s="20"/>
      <c r="E67" s="20"/>
      <c r="F67" s="20"/>
      <c r="G67" s="20"/>
      <c r="H67" s="13"/>
      <c r="I67" s="13"/>
      <c r="J67" s="17"/>
      <c r="K67" s="21" t="str">
        <f t="shared" si="4">IF(B67="","",IF(C67="N","N/A",IF(OR(C67&lt;&gt;"Y",COUNT(D67:G67)&lt;4),"",IF(OR(D67&lt;=0,E67&lt;0,F67&lt;0,G67&lt;0,E67&gt;D67,F67&gt;E67,G67&gt;F67,D67&lt;&gt;INT(D67),E67&lt;&gt;INT(E67),F67&lt;&gt;INT(F67),G67&lt;&gt;INT(G67)),"",G67/D67))))</f>
      </c>
      <c r="L67" s="15" t="str">
        <f t="shared" si="5">IF(B67="","",IF(C67="N",IF(H67="","Add approved N/A reference","N/A documented"),IF(C67&lt;&gt;"Y","Select Y / N",IF(COUNT(D67:G67)&lt;4,"Enter all four counts",IF(OR(D67&lt;0,E67&lt;0,F67&lt;0,G67&lt;0,E67&gt;D67,F67&gt;E67,G67&gt;F67,D67&lt;&gt;INT(D67),E67&lt;&gt;INT(E67),F67&lt;&gt;INT(F67),G67&lt;&gt;INT(G67)),"Review record counts",IF(D67=0,"Set expected count or justify zero scope","Counts consistent"))))))</f>
      </c>
    </row>
    <row r="68" spans="1:12" ht="24" customHeight="1">
      <c r="A68" s="15" t="str">
        <f t="shared" si="3"/>
        <v/>
      </c>
      <c r="B68" s="13"/>
      <c r="C68" s="13"/>
      <c r="D68" s="20"/>
      <c r="E68" s="20"/>
      <c r="F68" s="20"/>
      <c r="G68" s="20"/>
      <c r="H68" s="13"/>
      <c r="I68" s="13"/>
      <c r="J68" s="17"/>
      <c r="K68" s="21" t="str">
        <f t="shared" si="4">IF(B68="","",IF(C68="N","N/A",IF(OR(C68&lt;&gt;"Y",COUNT(D68:G68)&lt;4),"",IF(OR(D68&lt;=0,E68&lt;0,F68&lt;0,G68&lt;0,E68&gt;D68,F68&gt;E68,G68&gt;F68,D68&lt;&gt;INT(D68),E68&lt;&gt;INT(E68),F68&lt;&gt;INT(F68),G68&lt;&gt;INT(G68)),"",G68/D68))))</f>
      </c>
      <c r="L68" s="15" t="str">
        <f t="shared" si="5">IF(B68="","",IF(C68="N",IF(H68="","Add approved N/A reference","N/A documented"),IF(C68&lt;&gt;"Y","Select Y / N",IF(COUNT(D68:G68)&lt;4,"Enter all four counts",IF(OR(D68&lt;0,E68&lt;0,F68&lt;0,G68&lt;0,E68&gt;D68,F68&gt;E68,G68&gt;F68,D68&lt;&gt;INT(D68),E68&lt;&gt;INT(E68),F68&lt;&gt;INT(F68),G68&lt;&gt;INT(G68)),"Review record counts",IF(D68=0,"Set expected count or justify zero scope","Counts consistent"))))))</f>
      </c>
    </row>
    <row r="69" spans="1:12" ht="24" customHeight="1">
      <c r="A69" s="15" t="str">
        <f t="shared" si="3"/>
        <v/>
      </c>
      <c r="B69" s="13"/>
      <c r="C69" s="13"/>
      <c r="D69" s="20"/>
      <c r="E69" s="20"/>
      <c r="F69" s="20"/>
      <c r="G69" s="20"/>
      <c r="H69" s="13"/>
      <c r="I69" s="13"/>
      <c r="J69" s="17"/>
      <c r="K69" s="21" t="str">
        <f t="shared" si="4">IF(B69="","",IF(C69="N","N/A",IF(OR(C69&lt;&gt;"Y",COUNT(D69:G69)&lt;4),"",IF(OR(D69&lt;=0,E69&lt;0,F69&lt;0,G69&lt;0,E69&gt;D69,F69&gt;E69,G69&gt;F69,D69&lt;&gt;INT(D69),E69&lt;&gt;INT(E69),F69&lt;&gt;INT(F69),G69&lt;&gt;INT(G69)),"",G69/D69))))</f>
      </c>
      <c r="L69" s="15" t="str">
        <f t="shared" si="5">IF(B69="","",IF(C69="N",IF(H69="","Add approved N/A reference","N/A documented"),IF(C69&lt;&gt;"Y","Select Y / N",IF(COUNT(D69:G69)&lt;4,"Enter all four counts",IF(OR(D69&lt;0,E69&lt;0,F69&lt;0,G69&lt;0,E69&gt;D69,F69&gt;E69,G69&gt;F69,D69&lt;&gt;INT(D69),E69&lt;&gt;INT(E69),F69&lt;&gt;INT(F69),G69&lt;&gt;INT(G69)),"Review record counts",IF(D69=0,"Set expected count or justify zero scope","Counts consistent"))))))</f>
      </c>
    </row>
    <row r="70" spans="1:12" ht="24" customHeight="1">
      <c r="A70" s="15" t="str">
        <f t="shared" si="3"/>
        <v/>
      </c>
      <c r="B70" s="13"/>
      <c r="C70" s="13"/>
      <c r="D70" s="20"/>
      <c r="E70" s="20"/>
      <c r="F70" s="20"/>
      <c r="G70" s="20"/>
      <c r="H70" s="13"/>
      <c r="I70" s="13"/>
      <c r="J70" s="17"/>
      <c r="K70" s="21" t="str">
        <f t="shared" si="4">IF(B70="","",IF(C70="N","N/A",IF(OR(C70&lt;&gt;"Y",COUNT(D70:G70)&lt;4),"",IF(OR(D70&lt;=0,E70&lt;0,F70&lt;0,G70&lt;0,E70&gt;D70,F70&gt;E70,G70&gt;F70,D70&lt;&gt;INT(D70),E70&lt;&gt;INT(E70),F70&lt;&gt;INT(F70),G70&lt;&gt;INT(G70)),"",G70/D70))))</f>
      </c>
      <c r="L70" s="15" t="str">
        <f t="shared" si="5">IF(B70="","",IF(C70="N",IF(H70="","Add approved N/A reference","N/A documented"),IF(C70&lt;&gt;"Y","Select Y / N",IF(COUNT(D70:G70)&lt;4,"Enter all four counts",IF(OR(D70&lt;0,E70&lt;0,F70&lt;0,G70&lt;0,E70&gt;D70,F70&gt;E70,G70&gt;F70,D70&lt;&gt;INT(D70),E70&lt;&gt;INT(E70),F70&lt;&gt;INT(F70),G70&lt;&gt;INT(G70)),"Review record counts",IF(D70=0,"Set expected count or justify zero scope","Counts consistent"))))))</f>
      </c>
    </row>
    <row r="71" spans="1:12" ht="24" customHeight="1">
      <c r="A71" s="15" t="str">
        <f t="shared" si="3"/>
        <v/>
      </c>
      <c r="B71" s="13"/>
      <c r="C71" s="13"/>
      <c r="D71" s="20"/>
      <c r="E71" s="20"/>
      <c r="F71" s="20"/>
      <c r="G71" s="20"/>
      <c r="H71" s="13"/>
      <c r="I71" s="13"/>
      <c r="J71" s="17"/>
      <c r="K71" s="21" t="str">
        <f t="shared" si="4">IF(B71="","",IF(C71="N","N/A",IF(OR(C71&lt;&gt;"Y",COUNT(D71:G71)&lt;4),"",IF(OR(D71&lt;=0,E71&lt;0,F71&lt;0,G71&lt;0,E71&gt;D71,F71&gt;E71,G71&gt;F71,D71&lt;&gt;INT(D71),E71&lt;&gt;INT(E71),F71&lt;&gt;INT(F71),G71&lt;&gt;INT(G71)),"",G71/D71))))</f>
      </c>
      <c r="L71" s="15" t="str">
        <f t="shared" si="5">IF(B71="","",IF(C71="N",IF(H71="","Add approved N/A reference","N/A documented"),IF(C71&lt;&gt;"Y","Select Y / N",IF(COUNT(D71:G71)&lt;4,"Enter all four counts",IF(OR(D71&lt;0,E71&lt;0,F71&lt;0,G71&lt;0,E71&gt;D71,F71&gt;E71,G71&gt;F71,D71&lt;&gt;INT(D71),E71&lt;&gt;INT(E71),F71&lt;&gt;INT(F71),G71&lt;&gt;INT(G71)),"Review record counts",IF(D71=0,"Set expected count or justify zero scope","Counts consistent"))))))</f>
      </c>
    </row>
    <row r="72" spans="1:12" ht="24" customHeight="1">
      <c r="A72" s="15" t="str">
        <f t="shared" si="3"/>
        <v/>
      </c>
      <c r="B72" s="13"/>
      <c r="C72" s="13"/>
      <c r="D72" s="20"/>
      <c r="E72" s="20"/>
      <c r="F72" s="20"/>
      <c r="G72" s="20"/>
      <c r="H72" s="13"/>
      <c r="I72" s="13"/>
      <c r="J72" s="17"/>
      <c r="K72" s="21" t="str">
        <f t="shared" si="4">IF(B72="","",IF(C72="N","N/A",IF(OR(C72&lt;&gt;"Y",COUNT(D72:G72)&lt;4),"",IF(OR(D72&lt;=0,E72&lt;0,F72&lt;0,G72&lt;0,E72&gt;D72,F72&gt;E72,G72&gt;F72,D72&lt;&gt;INT(D72),E72&lt;&gt;INT(E72),F72&lt;&gt;INT(F72),G72&lt;&gt;INT(G72)),"",G72/D72))))</f>
      </c>
      <c r="L72" s="15" t="str">
        <f t="shared" si="5">IF(B72="","",IF(C72="N",IF(H72="","Add approved N/A reference","N/A documented"),IF(C72&lt;&gt;"Y","Select Y / N",IF(COUNT(D72:G72)&lt;4,"Enter all four counts",IF(OR(D72&lt;0,E72&lt;0,F72&lt;0,G72&lt;0,E72&gt;D72,F72&gt;E72,G72&gt;F72,D72&lt;&gt;INT(D72),E72&lt;&gt;INT(E72),F72&lt;&gt;INT(F72),G72&lt;&gt;INT(G72)),"Review record counts",IF(D72=0,"Set expected count or justify zero scope","Counts consistent"))))))</f>
      </c>
    </row>
    <row r="73" spans="1:12" ht="24" customHeight="1">
      <c r="A73" s="15" t="str">
        <f t="shared" si="3"/>
        <v/>
      </c>
      <c r="B73" s="13"/>
      <c r="C73" s="13"/>
      <c r="D73" s="20"/>
      <c r="E73" s="20"/>
      <c r="F73" s="20"/>
      <c r="G73" s="20"/>
      <c r="H73" s="13"/>
      <c r="I73" s="13"/>
      <c r="J73" s="17"/>
      <c r="K73" s="21" t="str">
        <f t="shared" si="4">IF(B73="","",IF(C73="N","N/A",IF(OR(C73&lt;&gt;"Y",COUNT(D73:G73)&lt;4),"",IF(OR(D73&lt;=0,E73&lt;0,F73&lt;0,G73&lt;0,E73&gt;D73,F73&gt;E73,G73&gt;F73,D73&lt;&gt;INT(D73),E73&lt;&gt;INT(E73),F73&lt;&gt;INT(F73),G73&lt;&gt;INT(G73)),"",G73/D73))))</f>
      </c>
      <c r="L73" s="15" t="str">
        <f t="shared" si="5">IF(B73="","",IF(C73="N",IF(H73="","Add approved N/A reference","N/A documented"),IF(C73&lt;&gt;"Y","Select Y / N",IF(COUNT(D73:G73)&lt;4,"Enter all four counts",IF(OR(D73&lt;0,E73&lt;0,F73&lt;0,G73&lt;0,E73&gt;D73,F73&gt;E73,G73&gt;F73,D73&lt;&gt;INT(D73),E73&lt;&gt;INT(E73),F73&lt;&gt;INT(F73),G73&lt;&gt;INT(G73)),"Review record counts",IF(D73=0,"Set expected count or justify zero scope","Counts consistent"))))))</f>
      </c>
    </row>
    <row r="74" spans="1:12" ht="24" customHeight="1">
      <c r="A74" s="15" t="str">
        <f t="shared" si="3"/>
        <v/>
      </c>
      <c r="B74" s="13"/>
      <c r="C74" s="13"/>
      <c r="D74" s="20"/>
      <c r="E74" s="20"/>
      <c r="F74" s="20"/>
      <c r="G74" s="20"/>
      <c r="H74" s="13"/>
      <c r="I74" s="13"/>
      <c r="J74" s="17"/>
      <c r="K74" s="21" t="str">
        <f t="shared" si="4">IF(B74="","",IF(C74="N","N/A",IF(OR(C74&lt;&gt;"Y",COUNT(D74:G74)&lt;4),"",IF(OR(D74&lt;=0,E74&lt;0,F74&lt;0,G74&lt;0,E74&gt;D74,F74&gt;E74,G74&gt;F74,D74&lt;&gt;INT(D74),E74&lt;&gt;INT(E74),F74&lt;&gt;INT(F74),G74&lt;&gt;INT(G74)),"",G74/D74))))</f>
      </c>
      <c r="L74" s="15" t="str">
        <f t="shared" si="5">IF(B74="","",IF(C74="N",IF(H74="","Add approved N/A reference","N/A documented"),IF(C74&lt;&gt;"Y","Select Y / N",IF(COUNT(D74:G74)&lt;4,"Enter all four counts",IF(OR(D74&lt;0,E74&lt;0,F74&lt;0,G74&lt;0,E74&gt;D74,F74&gt;E74,G74&gt;F74,D74&lt;&gt;INT(D74),E74&lt;&gt;INT(E74),F74&lt;&gt;INT(F74),G74&lt;&gt;INT(G74)),"Review record counts",IF(D74=0,"Set expected count or justify zero scope","Counts consistent"))))))</f>
      </c>
    </row>
    <row r="75" spans="1:12" ht="24" customHeight="1">
      <c r="A75" s="15" t="str">
        <f t="shared" si="3"/>
        <v/>
      </c>
      <c r="B75" s="13"/>
      <c r="C75" s="13"/>
      <c r="D75" s="20"/>
      <c r="E75" s="20"/>
      <c r="F75" s="20"/>
      <c r="G75" s="20"/>
      <c r="H75" s="13"/>
      <c r="I75" s="13"/>
      <c r="J75" s="17"/>
      <c r="K75" s="21" t="str">
        <f t="shared" si="4">IF(B75="","",IF(C75="N","N/A",IF(OR(C75&lt;&gt;"Y",COUNT(D75:G75)&lt;4),"",IF(OR(D75&lt;=0,E75&lt;0,F75&lt;0,G75&lt;0,E75&gt;D75,F75&gt;E75,G75&gt;F75,D75&lt;&gt;INT(D75),E75&lt;&gt;INT(E75),F75&lt;&gt;INT(F75),G75&lt;&gt;INT(G75)),"",G75/D75))))</f>
      </c>
      <c r="L75" s="15" t="str">
        <f t="shared" si="5">IF(B75="","",IF(C75="N",IF(H75="","Add approved N/A reference","N/A documented"),IF(C75&lt;&gt;"Y","Select Y / N",IF(COUNT(D75:G75)&lt;4,"Enter all four counts",IF(OR(D75&lt;0,E75&lt;0,F75&lt;0,G75&lt;0,E75&gt;D75,F75&gt;E75,G75&gt;F75,D75&lt;&gt;INT(D75),E75&lt;&gt;INT(E75),F75&lt;&gt;INT(F75),G75&lt;&gt;INT(G75)),"Review record counts",IF(D75=0,"Set expected count or justify zero scope","Counts consistent"))))))</f>
      </c>
    </row>
    <row r="76" spans="1:12" ht="24" customHeight="1">
      <c r="A76" s="15" t="str">
        <f t="shared" si="3"/>
        <v/>
      </c>
      <c r="B76" s="13"/>
      <c r="C76" s="13"/>
      <c r="D76" s="20"/>
      <c r="E76" s="20"/>
      <c r="F76" s="20"/>
      <c r="G76" s="20"/>
      <c r="H76" s="13"/>
      <c r="I76" s="13"/>
      <c r="J76" s="17"/>
      <c r="K76" s="21" t="str">
        <f t="shared" si="4">IF(B76="","",IF(C76="N","N/A",IF(OR(C76&lt;&gt;"Y",COUNT(D76:G76)&lt;4),"",IF(OR(D76&lt;=0,E76&lt;0,F76&lt;0,G76&lt;0,E76&gt;D76,F76&gt;E76,G76&gt;F76,D76&lt;&gt;INT(D76),E76&lt;&gt;INT(E76),F76&lt;&gt;INT(F76),G76&lt;&gt;INT(G76)),"",G76/D76))))</f>
      </c>
      <c r="L76" s="15" t="str">
        <f t="shared" si="5">IF(B76="","",IF(C76="N",IF(H76="","Add approved N/A reference","N/A documented"),IF(C76&lt;&gt;"Y","Select Y / N",IF(COUNT(D76:G76)&lt;4,"Enter all four counts",IF(OR(D76&lt;0,E76&lt;0,F76&lt;0,G76&lt;0,E76&gt;D76,F76&gt;E76,G76&gt;F76,D76&lt;&gt;INT(D76),E76&lt;&gt;INT(E76),F76&lt;&gt;INT(F76),G76&lt;&gt;INT(G76)),"Review record counts",IF(D76=0,"Set expected count or justify zero scope","Counts consistent"))))))</f>
      </c>
    </row>
    <row r="77" spans="1:12" ht="24" customHeight="1">
      <c r="A77" s="15" t="str">
        <f t="shared" ref="A77:A108" si="6">IF(B77="","",ROW()-12)</f>
        <v/>
      </c>
      <c r="B77" s="13"/>
      <c r="C77" s="13"/>
      <c r="D77" s="20"/>
      <c r="E77" s="20"/>
      <c r="F77" s="20"/>
      <c r="G77" s="20"/>
      <c r="H77" s="13"/>
      <c r="I77" s="13"/>
      <c r="J77" s="17"/>
      <c r="K77" s="21" t="str">
        <f t="shared" ref="K77:K108" si="7">IF(B77="","",IF(C77="N","N/A",IF(OR(C77&lt;&gt;"Y",COUNT(D77:G77)&lt;4),"",IF(OR(D77&lt;=0,E77&lt;0,F77&lt;0,G77&lt;0,E77&gt;D77,F77&gt;E77,G77&gt;F77,D77&lt;&gt;INT(D77),E77&lt;&gt;INT(E77),F77&lt;&gt;INT(F77),G77&lt;&gt;INT(G77)),"",G77/D77))))</f>
      </c>
      <c r="L77" s="15" t="str">
        <f t="shared" ref="L77:L108" si="8">IF(B77="","",IF(C77="N",IF(H77="","Add approved N/A reference","N/A documented"),IF(C77&lt;&gt;"Y","Select Y / N",IF(COUNT(D77:G77)&lt;4,"Enter all four counts",IF(OR(D77&lt;0,E77&lt;0,F77&lt;0,G77&lt;0,E77&gt;D77,F77&gt;E77,G77&gt;F77,D77&lt;&gt;INT(D77),E77&lt;&gt;INT(E77),F77&lt;&gt;INT(F77),G77&lt;&gt;INT(G77)),"Review record counts",IF(D77=0,"Set expected count or justify zero scope","Counts consistent"))))))</f>
      </c>
    </row>
    <row r="78" spans="1:12" ht="24" customHeight="1">
      <c r="A78" s="15" t="str">
        <f t="shared" si="6"/>
        <v/>
      </c>
      <c r="B78" s="13"/>
      <c r="C78" s="13"/>
      <c r="D78" s="20"/>
      <c r="E78" s="20"/>
      <c r="F78" s="20"/>
      <c r="G78" s="20"/>
      <c r="H78" s="13"/>
      <c r="I78" s="13"/>
      <c r="J78" s="17"/>
      <c r="K78" s="21" t="str">
        <f t="shared" si="7">IF(B78="","",IF(C78="N","N/A",IF(OR(C78&lt;&gt;"Y",COUNT(D78:G78)&lt;4),"",IF(OR(D78&lt;=0,E78&lt;0,F78&lt;0,G78&lt;0,E78&gt;D78,F78&gt;E78,G78&gt;F78,D78&lt;&gt;INT(D78),E78&lt;&gt;INT(E78),F78&lt;&gt;INT(F78),G78&lt;&gt;INT(G78)),"",G78/D78))))</f>
      </c>
      <c r="L78" s="15" t="str">
        <f t="shared" si="8">IF(B78="","",IF(C78="N",IF(H78="","Add approved N/A reference","N/A documented"),IF(C78&lt;&gt;"Y","Select Y / N",IF(COUNT(D78:G78)&lt;4,"Enter all four counts",IF(OR(D78&lt;0,E78&lt;0,F78&lt;0,G78&lt;0,E78&gt;D78,F78&gt;E78,G78&gt;F78,D78&lt;&gt;INT(D78),E78&lt;&gt;INT(E78),F78&lt;&gt;INT(F78),G78&lt;&gt;INT(G78)),"Review record counts",IF(D78=0,"Set expected count or justify zero scope","Counts consistent"))))))</f>
      </c>
    </row>
    <row r="79" spans="1:12" ht="24" customHeight="1">
      <c r="A79" s="15" t="str">
        <f t="shared" si="6"/>
        <v/>
      </c>
      <c r="B79" s="13"/>
      <c r="C79" s="13"/>
      <c r="D79" s="20"/>
      <c r="E79" s="20"/>
      <c r="F79" s="20"/>
      <c r="G79" s="20"/>
      <c r="H79" s="13"/>
      <c r="I79" s="13"/>
      <c r="J79" s="17"/>
      <c r="K79" s="21" t="str">
        <f t="shared" si="7">IF(B79="","",IF(C79="N","N/A",IF(OR(C79&lt;&gt;"Y",COUNT(D79:G79)&lt;4),"",IF(OR(D79&lt;=0,E79&lt;0,F79&lt;0,G79&lt;0,E79&gt;D79,F79&gt;E79,G79&gt;F79,D79&lt;&gt;INT(D79),E79&lt;&gt;INT(E79),F79&lt;&gt;INT(F79),G79&lt;&gt;INT(G79)),"",G79/D79))))</f>
      </c>
      <c r="L79" s="15" t="str">
        <f t="shared" si="8">IF(B79="","",IF(C79="N",IF(H79="","Add approved N/A reference","N/A documented"),IF(C79&lt;&gt;"Y","Select Y / N",IF(COUNT(D79:G79)&lt;4,"Enter all four counts",IF(OR(D79&lt;0,E79&lt;0,F79&lt;0,G79&lt;0,E79&gt;D79,F79&gt;E79,G79&gt;F79,D79&lt;&gt;INT(D79),E79&lt;&gt;INT(E79),F79&lt;&gt;INT(F79),G79&lt;&gt;INT(G79)),"Review record counts",IF(D79=0,"Set expected count or justify zero scope","Counts consistent"))))))</f>
      </c>
    </row>
    <row r="80" spans="1:12" ht="24" customHeight="1">
      <c r="A80" s="15" t="str">
        <f t="shared" si="6"/>
        <v/>
      </c>
      <c r="B80" s="13"/>
      <c r="C80" s="13"/>
      <c r="D80" s="20"/>
      <c r="E80" s="20"/>
      <c r="F80" s="20"/>
      <c r="G80" s="20"/>
      <c r="H80" s="13"/>
      <c r="I80" s="13"/>
      <c r="J80" s="17"/>
      <c r="K80" s="21" t="str">
        <f t="shared" si="7">IF(B80="","",IF(C80="N","N/A",IF(OR(C80&lt;&gt;"Y",COUNT(D80:G80)&lt;4),"",IF(OR(D80&lt;=0,E80&lt;0,F80&lt;0,G80&lt;0,E80&gt;D80,F80&gt;E80,G80&gt;F80,D80&lt;&gt;INT(D80),E80&lt;&gt;INT(E80),F80&lt;&gt;INT(F80),G80&lt;&gt;INT(G80)),"",G80/D80))))</f>
      </c>
      <c r="L80" s="15" t="str">
        <f t="shared" si="8">IF(B80="","",IF(C80="N",IF(H80="","Add approved N/A reference","N/A documented"),IF(C80&lt;&gt;"Y","Select Y / N",IF(COUNT(D80:G80)&lt;4,"Enter all four counts",IF(OR(D80&lt;0,E80&lt;0,F80&lt;0,G80&lt;0,E80&gt;D80,F80&gt;E80,G80&gt;F80,D80&lt;&gt;INT(D80),E80&lt;&gt;INT(E80),F80&lt;&gt;INT(F80),G80&lt;&gt;INT(G80)),"Review record counts",IF(D80=0,"Set expected count or justify zero scope","Counts consistent"))))))</f>
      </c>
    </row>
    <row r="81" spans="1:12" ht="24" customHeight="1">
      <c r="A81" s="15" t="str">
        <f t="shared" si="6"/>
        <v/>
      </c>
      <c r="B81" s="13"/>
      <c r="C81" s="13"/>
      <c r="D81" s="20"/>
      <c r="E81" s="20"/>
      <c r="F81" s="20"/>
      <c r="G81" s="20"/>
      <c r="H81" s="13"/>
      <c r="I81" s="13"/>
      <c r="J81" s="17"/>
      <c r="K81" s="21" t="str">
        <f t="shared" si="7">IF(B81="","",IF(C81="N","N/A",IF(OR(C81&lt;&gt;"Y",COUNT(D81:G81)&lt;4),"",IF(OR(D81&lt;=0,E81&lt;0,F81&lt;0,G81&lt;0,E81&gt;D81,F81&gt;E81,G81&gt;F81,D81&lt;&gt;INT(D81),E81&lt;&gt;INT(E81),F81&lt;&gt;INT(F81),G81&lt;&gt;INT(G81)),"",G81/D81))))</f>
      </c>
      <c r="L81" s="15" t="str">
        <f t="shared" si="8">IF(B81="","",IF(C81="N",IF(H81="","Add approved N/A reference","N/A documented"),IF(C81&lt;&gt;"Y","Select Y / N",IF(COUNT(D81:G81)&lt;4,"Enter all four counts",IF(OR(D81&lt;0,E81&lt;0,F81&lt;0,G81&lt;0,E81&gt;D81,F81&gt;E81,G81&gt;F81,D81&lt;&gt;INT(D81),E81&lt;&gt;INT(E81),F81&lt;&gt;INT(F81),G81&lt;&gt;INT(G81)),"Review record counts",IF(D81=0,"Set expected count or justify zero scope","Counts consistent"))))))</f>
      </c>
    </row>
    <row r="82" spans="1:12" ht="24" customHeight="1">
      <c r="A82" s="15" t="str">
        <f t="shared" si="6"/>
        <v/>
      </c>
      <c r="B82" s="13"/>
      <c r="C82" s="13"/>
      <c r="D82" s="20"/>
      <c r="E82" s="20"/>
      <c r="F82" s="20"/>
      <c r="G82" s="20"/>
      <c r="H82" s="13"/>
      <c r="I82" s="13"/>
      <c r="J82" s="17"/>
      <c r="K82" s="21" t="str">
        <f t="shared" si="7">IF(B82="","",IF(C82="N","N/A",IF(OR(C82&lt;&gt;"Y",COUNT(D82:G82)&lt;4),"",IF(OR(D82&lt;=0,E82&lt;0,F82&lt;0,G82&lt;0,E82&gt;D82,F82&gt;E82,G82&gt;F82,D82&lt;&gt;INT(D82),E82&lt;&gt;INT(E82),F82&lt;&gt;INT(F82),G82&lt;&gt;INT(G82)),"",G82/D82))))</f>
      </c>
      <c r="L82" s="15" t="str">
        <f t="shared" si="8">IF(B82="","",IF(C82="N",IF(H82="","Add approved N/A reference","N/A documented"),IF(C82&lt;&gt;"Y","Select Y / N",IF(COUNT(D82:G82)&lt;4,"Enter all four counts",IF(OR(D82&lt;0,E82&lt;0,F82&lt;0,G82&lt;0,E82&gt;D82,F82&gt;E82,G82&gt;F82,D82&lt;&gt;INT(D82),E82&lt;&gt;INT(E82),F82&lt;&gt;INT(F82),G82&lt;&gt;INT(G82)),"Review record counts",IF(D82=0,"Set expected count or justify zero scope","Counts consistent"))))))</f>
      </c>
    </row>
    <row r="83" spans="1:12" ht="24" customHeight="1">
      <c r="A83" s="15" t="str">
        <f t="shared" si="6"/>
        <v/>
      </c>
      <c r="B83" s="13"/>
      <c r="C83" s="13"/>
      <c r="D83" s="20"/>
      <c r="E83" s="20"/>
      <c r="F83" s="20"/>
      <c r="G83" s="20"/>
      <c r="H83" s="13"/>
      <c r="I83" s="13"/>
      <c r="J83" s="17"/>
      <c r="K83" s="21" t="str">
        <f t="shared" si="7">IF(B83="","",IF(C83="N","N/A",IF(OR(C83&lt;&gt;"Y",COUNT(D83:G83)&lt;4),"",IF(OR(D83&lt;=0,E83&lt;0,F83&lt;0,G83&lt;0,E83&gt;D83,F83&gt;E83,G83&gt;F83,D83&lt;&gt;INT(D83),E83&lt;&gt;INT(E83),F83&lt;&gt;INT(F83),G83&lt;&gt;INT(G83)),"",G83/D83))))</f>
      </c>
      <c r="L83" s="15" t="str">
        <f t="shared" si="8">IF(B83="","",IF(C83="N",IF(H83="","Add approved N/A reference","N/A documented"),IF(C83&lt;&gt;"Y","Select Y / N",IF(COUNT(D83:G83)&lt;4,"Enter all four counts",IF(OR(D83&lt;0,E83&lt;0,F83&lt;0,G83&lt;0,E83&gt;D83,F83&gt;E83,G83&gt;F83,D83&lt;&gt;INT(D83),E83&lt;&gt;INT(E83),F83&lt;&gt;INT(F83),G83&lt;&gt;INT(G83)),"Review record counts",IF(D83=0,"Set expected count or justify zero scope","Counts consistent"))))))</f>
      </c>
    </row>
    <row r="84" spans="1:12" ht="24" customHeight="1">
      <c r="A84" s="15" t="str">
        <f t="shared" si="6"/>
        <v/>
      </c>
      <c r="B84" s="13"/>
      <c r="C84" s="13"/>
      <c r="D84" s="20"/>
      <c r="E84" s="20"/>
      <c r="F84" s="20"/>
      <c r="G84" s="20"/>
      <c r="H84" s="13"/>
      <c r="I84" s="13"/>
      <c r="J84" s="17"/>
      <c r="K84" s="21" t="str">
        <f t="shared" si="7">IF(B84="","",IF(C84="N","N/A",IF(OR(C84&lt;&gt;"Y",COUNT(D84:G84)&lt;4),"",IF(OR(D84&lt;=0,E84&lt;0,F84&lt;0,G84&lt;0,E84&gt;D84,F84&gt;E84,G84&gt;F84,D84&lt;&gt;INT(D84),E84&lt;&gt;INT(E84),F84&lt;&gt;INT(F84),G84&lt;&gt;INT(G84)),"",G84/D84))))</f>
      </c>
      <c r="L84" s="15" t="str">
        <f t="shared" si="8">IF(B84="","",IF(C84="N",IF(H84="","Add approved N/A reference","N/A documented"),IF(C84&lt;&gt;"Y","Select Y / N",IF(COUNT(D84:G84)&lt;4,"Enter all four counts",IF(OR(D84&lt;0,E84&lt;0,F84&lt;0,G84&lt;0,E84&gt;D84,F84&gt;E84,G84&gt;F84,D84&lt;&gt;INT(D84),E84&lt;&gt;INT(E84),F84&lt;&gt;INT(F84),G84&lt;&gt;INT(G84)),"Review record counts",IF(D84=0,"Set expected count or justify zero scope","Counts consistent"))))))</f>
      </c>
    </row>
    <row r="85" spans="1:12" ht="24" customHeight="1">
      <c r="A85" s="15" t="str">
        <f t="shared" si="6"/>
        <v/>
      </c>
      <c r="B85" s="13"/>
      <c r="C85" s="13"/>
      <c r="D85" s="20"/>
      <c r="E85" s="20"/>
      <c r="F85" s="20"/>
      <c r="G85" s="20"/>
      <c r="H85" s="13"/>
      <c r="I85" s="13"/>
      <c r="J85" s="17"/>
      <c r="K85" s="21" t="str">
        <f t="shared" si="7">IF(B85="","",IF(C85="N","N/A",IF(OR(C85&lt;&gt;"Y",COUNT(D85:G85)&lt;4),"",IF(OR(D85&lt;=0,E85&lt;0,F85&lt;0,G85&lt;0,E85&gt;D85,F85&gt;E85,G85&gt;F85,D85&lt;&gt;INT(D85),E85&lt;&gt;INT(E85),F85&lt;&gt;INT(F85),G85&lt;&gt;INT(G85)),"",G85/D85))))</f>
      </c>
      <c r="L85" s="15" t="str">
        <f t="shared" si="8">IF(B85="","",IF(C85="N",IF(H85="","Add approved N/A reference","N/A documented"),IF(C85&lt;&gt;"Y","Select Y / N",IF(COUNT(D85:G85)&lt;4,"Enter all four counts",IF(OR(D85&lt;0,E85&lt;0,F85&lt;0,G85&lt;0,E85&gt;D85,F85&gt;E85,G85&gt;F85,D85&lt;&gt;INT(D85),E85&lt;&gt;INT(E85),F85&lt;&gt;INT(F85),G85&lt;&gt;INT(G85)),"Review record counts",IF(D85=0,"Set expected count or justify zero scope","Counts consistent"))))))</f>
      </c>
    </row>
    <row r="86" spans="1:12" ht="24" customHeight="1">
      <c r="A86" s="15" t="str">
        <f t="shared" si="6"/>
        <v/>
      </c>
      <c r="B86" s="13"/>
      <c r="C86" s="13"/>
      <c r="D86" s="20"/>
      <c r="E86" s="20"/>
      <c r="F86" s="20"/>
      <c r="G86" s="20"/>
      <c r="H86" s="13"/>
      <c r="I86" s="13"/>
      <c r="J86" s="17"/>
      <c r="K86" s="21" t="str">
        <f t="shared" si="7">IF(B86="","",IF(C86="N","N/A",IF(OR(C86&lt;&gt;"Y",COUNT(D86:G86)&lt;4),"",IF(OR(D86&lt;=0,E86&lt;0,F86&lt;0,G86&lt;0,E86&gt;D86,F86&gt;E86,G86&gt;F86,D86&lt;&gt;INT(D86),E86&lt;&gt;INT(E86),F86&lt;&gt;INT(F86),G86&lt;&gt;INT(G86)),"",G86/D86))))</f>
      </c>
      <c r="L86" s="15" t="str">
        <f t="shared" si="8">IF(B86="","",IF(C86="N",IF(H86="","Add approved N/A reference","N/A documented"),IF(C86&lt;&gt;"Y","Select Y / N",IF(COUNT(D86:G86)&lt;4,"Enter all four counts",IF(OR(D86&lt;0,E86&lt;0,F86&lt;0,G86&lt;0,E86&gt;D86,F86&gt;E86,G86&gt;F86,D86&lt;&gt;INT(D86),E86&lt;&gt;INT(E86),F86&lt;&gt;INT(F86),G86&lt;&gt;INT(G86)),"Review record counts",IF(D86=0,"Set expected count or justify zero scope","Counts consistent"))))))</f>
      </c>
    </row>
    <row r="87" spans="1:12" ht="24" customHeight="1">
      <c r="A87" s="15" t="str">
        <f t="shared" si="6"/>
        <v/>
      </c>
      <c r="B87" s="13"/>
      <c r="C87" s="13"/>
      <c r="D87" s="20"/>
      <c r="E87" s="20"/>
      <c r="F87" s="20"/>
      <c r="G87" s="20"/>
      <c r="H87" s="13"/>
      <c r="I87" s="13"/>
      <c r="J87" s="17"/>
      <c r="K87" s="21" t="str">
        <f t="shared" si="7">IF(B87="","",IF(C87="N","N/A",IF(OR(C87&lt;&gt;"Y",COUNT(D87:G87)&lt;4),"",IF(OR(D87&lt;=0,E87&lt;0,F87&lt;0,G87&lt;0,E87&gt;D87,F87&gt;E87,G87&gt;F87,D87&lt;&gt;INT(D87),E87&lt;&gt;INT(E87),F87&lt;&gt;INT(F87),G87&lt;&gt;INT(G87)),"",G87/D87))))</f>
      </c>
      <c r="L87" s="15" t="str">
        <f t="shared" si="8">IF(B87="","",IF(C87="N",IF(H87="","Add approved N/A reference","N/A documented"),IF(C87&lt;&gt;"Y","Select Y / N",IF(COUNT(D87:G87)&lt;4,"Enter all four counts",IF(OR(D87&lt;0,E87&lt;0,F87&lt;0,G87&lt;0,E87&gt;D87,F87&gt;E87,G87&gt;F87,D87&lt;&gt;INT(D87),E87&lt;&gt;INT(E87),F87&lt;&gt;INT(F87),G87&lt;&gt;INT(G87)),"Review record counts",IF(D87=0,"Set expected count or justify zero scope","Counts consistent"))))))</f>
      </c>
    </row>
    <row r="88" spans="1:12" ht="24" customHeight="1">
      <c r="A88" s="15" t="str">
        <f t="shared" si="6"/>
        <v/>
      </c>
      <c r="B88" s="13"/>
      <c r="C88" s="13"/>
      <c r="D88" s="20"/>
      <c r="E88" s="20"/>
      <c r="F88" s="20"/>
      <c r="G88" s="20"/>
      <c r="H88" s="13"/>
      <c r="I88" s="13"/>
      <c r="J88" s="17"/>
      <c r="K88" s="21" t="str">
        <f t="shared" si="7">IF(B88="","",IF(C88="N","N/A",IF(OR(C88&lt;&gt;"Y",COUNT(D88:G88)&lt;4),"",IF(OR(D88&lt;=0,E88&lt;0,F88&lt;0,G88&lt;0,E88&gt;D88,F88&gt;E88,G88&gt;F88,D88&lt;&gt;INT(D88),E88&lt;&gt;INT(E88),F88&lt;&gt;INT(F88),G88&lt;&gt;INT(G88)),"",G88/D88))))</f>
      </c>
      <c r="L88" s="15" t="str">
        <f t="shared" si="8">IF(B88="","",IF(C88="N",IF(H88="","Add approved N/A reference","N/A documented"),IF(C88&lt;&gt;"Y","Select Y / N",IF(COUNT(D88:G88)&lt;4,"Enter all four counts",IF(OR(D88&lt;0,E88&lt;0,F88&lt;0,G88&lt;0,E88&gt;D88,F88&gt;E88,G88&gt;F88,D88&lt;&gt;INT(D88),E88&lt;&gt;INT(E88),F88&lt;&gt;INT(F88),G88&lt;&gt;INT(G88)),"Review record counts",IF(D88=0,"Set expected count or justify zero scope","Counts consistent"))))))</f>
      </c>
    </row>
    <row r="89" spans="1:12" ht="24" customHeight="1">
      <c r="A89" s="15" t="str">
        <f t="shared" si="6"/>
        <v/>
      </c>
      <c r="B89" s="13"/>
      <c r="C89" s="13"/>
      <c r="D89" s="20"/>
      <c r="E89" s="20"/>
      <c r="F89" s="20"/>
      <c r="G89" s="20"/>
      <c r="H89" s="13"/>
      <c r="I89" s="13"/>
      <c r="J89" s="17"/>
      <c r="K89" s="21" t="str">
        <f t="shared" si="7">IF(B89="","",IF(C89="N","N/A",IF(OR(C89&lt;&gt;"Y",COUNT(D89:G89)&lt;4),"",IF(OR(D89&lt;=0,E89&lt;0,F89&lt;0,G89&lt;0,E89&gt;D89,F89&gt;E89,G89&gt;F89,D89&lt;&gt;INT(D89),E89&lt;&gt;INT(E89),F89&lt;&gt;INT(F89),G89&lt;&gt;INT(G89)),"",G89/D89))))</f>
      </c>
      <c r="L89" s="15" t="str">
        <f t="shared" si="8">IF(B89="","",IF(C89="N",IF(H89="","Add approved N/A reference","N/A documented"),IF(C89&lt;&gt;"Y","Select Y / N",IF(COUNT(D89:G89)&lt;4,"Enter all four counts",IF(OR(D89&lt;0,E89&lt;0,F89&lt;0,G89&lt;0,E89&gt;D89,F89&gt;E89,G89&gt;F89,D89&lt;&gt;INT(D89),E89&lt;&gt;INT(E89),F89&lt;&gt;INT(F89),G89&lt;&gt;INT(G89)),"Review record counts",IF(D89=0,"Set expected count or justify zero scope","Counts consistent"))))))</f>
      </c>
    </row>
    <row r="90" spans="1:12" ht="24" customHeight="1">
      <c r="A90" s="15" t="str">
        <f t="shared" si="6"/>
        <v/>
      </c>
      <c r="B90" s="13"/>
      <c r="C90" s="13"/>
      <c r="D90" s="20"/>
      <c r="E90" s="20"/>
      <c r="F90" s="20"/>
      <c r="G90" s="20"/>
      <c r="H90" s="13"/>
      <c r="I90" s="13"/>
      <c r="J90" s="17"/>
      <c r="K90" s="21" t="str">
        <f t="shared" si="7">IF(B90="","",IF(C90="N","N/A",IF(OR(C90&lt;&gt;"Y",COUNT(D90:G90)&lt;4),"",IF(OR(D90&lt;=0,E90&lt;0,F90&lt;0,G90&lt;0,E90&gt;D90,F90&gt;E90,G90&gt;F90,D90&lt;&gt;INT(D90),E90&lt;&gt;INT(E90),F90&lt;&gt;INT(F90),G90&lt;&gt;INT(G90)),"",G90/D90))))</f>
      </c>
      <c r="L90" s="15" t="str">
        <f t="shared" si="8">IF(B90="","",IF(C90="N",IF(H90="","Add approved N/A reference","N/A documented"),IF(C90&lt;&gt;"Y","Select Y / N",IF(COUNT(D90:G90)&lt;4,"Enter all four counts",IF(OR(D90&lt;0,E90&lt;0,F90&lt;0,G90&lt;0,E90&gt;D90,F90&gt;E90,G90&gt;F90,D90&lt;&gt;INT(D90),E90&lt;&gt;INT(E90),F90&lt;&gt;INT(F90),G90&lt;&gt;INT(G90)),"Review record counts",IF(D90=0,"Set expected count or justify zero scope","Counts consistent"))))))</f>
      </c>
    </row>
    <row r="91" spans="1:12" ht="24" customHeight="1">
      <c r="A91" s="15" t="str">
        <f t="shared" si="6"/>
        <v/>
      </c>
      <c r="B91" s="13"/>
      <c r="C91" s="13"/>
      <c r="D91" s="20"/>
      <c r="E91" s="20"/>
      <c r="F91" s="20"/>
      <c r="G91" s="20"/>
      <c r="H91" s="13"/>
      <c r="I91" s="13"/>
      <c r="J91" s="17"/>
      <c r="K91" s="21" t="str">
        <f t="shared" si="7">IF(B91="","",IF(C91="N","N/A",IF(OR(C91&lt;&gt;"Y",COUNT(D91:G91)&lt;4),"",IF(OR(D91&lt;=0,E91&lt;0,F91&lt;0,G91&lt;0,E91&gt;D91,F91&gt;E91,G91&gt;F91,D91&lt;&gt;INT(D91),E91&lt;&gt;INT(E91),F91&lt;&gt;INT(F91),G91&lt;&gt;INT(G91)),"",G91/D91))))</f>
      </c>
      <c r="L91" s="15" t="str">
        <f t="shared" si="8">IF(B91="","",IF(C91="N",IF(H91="","Add approved N/A reference","N/A documented"),IF(C91&lt;&gt;"Y","Select Y / N",IF(COUNT(D91:G91)&lt;4,"Enter all four counts",IF(OR(D91&lt;0,E91&lt;0,F91&lt;0,G91&lt;0,E91&gt;D91,F91&gt;E91,G91&gt;F91,D91&lt;&gt;INT(D91),E91&lt;&gt;INT(E91),F91&lt;&gt;INT(F91),G91&lt;&gt;INT(G91)),"Review record counts",IF(D91=0,"Set expected count or justify zero scope","Counts consistent"))))))</f>
      </c>
    </row>
    <row r="92" spans="1:12" ht="24" customHeight="1">
      <c r="A92" s="15" t="str">
        <f t="shared" si="6"/>
        <v/>
      </c>
      <c r="B92" s="13"/>
      <c r="C92" s="13"/>
      <c r="D92" s="20"/>
      <c r="E92" s="20"/>
      <c r="F92" s="20"/>
      <c r="G92" s="20"/>
      <c r="H92" s="13"/>
      <c r="I92" s="13"/>
      <c r="J92" s="17"/>
      <c r="K92" s="21" t="str">
        <f t="shared" si="7">IF(B92="","",IF(C92="N","N/A",IF(OR(C92&lt;&gt;"Y",COUNT(D92:G92)&lt;4),"",IF(OR(D92&lt;=0,E92&lt;0,F92&lt;0,G92&lt;0,E92&gt;D92,F92&gt;E92,G92&gt;F92,D92&lt;&gt;INT(D92),E92&lt;&gt;INT(E92),F92&lt;&gt;INT(F92),G92&lt;&gt;INT(G92)),"",G92/D92))))</f>
      </c>
      <c r="L92" s="15" t="str">
        <f t="shared" si="8">IF(B92="","",IF(C92="N",IF(H92="","Add approved N/A reference","N/A documented"),IF(C92&lt;&gt;"Y","Select Y / N",IF(COUNT(D92:G92)&lt;4,"Enter all four counts",IF(OR(D92&lt;0,E92&lt;0,F92&lt;0,G92&lt;0,E92&gt;D92,F92&gt;E92,G92&gt;F92,D92&lt;&gt;INT(D92),E92&lt;&gt;INT(E92),F92&lt;&gt;INT(F92),G92&lt;&gt;INT(G92)),"Review record counts",IF(D92=0,"Set expected count or justify zero scope","Counts consistent"))))))</f>
      </c>
    </row>
    <row r="93" spans="1:12" ht="24" customHeight="1">
      <c r="A93" s="15" t="str">
        <f t="shared" si="6"/>
        <v/>
      </c>
      <c r="B93" s="13"/>
      <c r="C93" s="13"/>
      <c r="D93" s="20"/>
      <c r="E93" s="20"/>
      <c r="F93" s="20"/>
      <c r="G93" s="20"/>
      <c r="H93" s="13"/>
      <c r="I93" s="13"/>
      <c r="J93" s="17"/>
      <c r="K93" s="21" t="str">
        <f t="shared" si="7">IF(B93="","",IF(C93="N","N/A",IF(OR(C93&lt;&gt;"Y",COUNT(D93:G93)&lt;4),"",IF(OR(D93&lt;=0,E93&lt;0,F93&lt;0,G93&lt;0,E93&gt;D93,F93&gt;E93,G93&gt;F93,D93&lt;&gt;INT(D93),E93&lt;&gt;INT(E93),F93&lt;&gt;INT(F93),G93&lt;&gt;INT(G93)),"",G93/D93))))</f>
      </c>
      <c r="L93" s="15" t="str">
        <f t="shared" si="8">IF(B93="","",IF(C93="N",IF(H93="","Add approved N/A reference","N/A documented"),IF(C93&lt;&gt;"Y","Select Y / N",IF(COUNT(D93:G93)&lt;4,"Enter all four counts",IF(OR(D93&lt;0,E93&lt;0,F93&lt;0,G93&lt;0,E93&gt;D93,F93&gt;E93,G93&gt;F93,D93&lt;&gt;INT(D93),E93&lt;&gt;INT(E93),F93&lt;&gt;INT(F93),G93&lt;&gt;INT(G93)),"Review record counts",IF(D93=0,"Set expected count or justify zero scope","Counts consistent"))))))</f>
      </c>
    </row>
    <row r="94" spans="1:12" ht="24" customHeight="1">
      <c r="A94" s="15" t="str">
        <f t="shared" si="6"/>
        <v/>
      </c>
      <c r="B94" s="13"/>
      <c r="C94" s="13"/>
      <c r="D94" s="20"/>
      <c r="E94" s="20"/>
      <c r="F94" s="20"/>
      <c r="G94" s="20"/>
      <c r="H94" s="13"/>
      <c r="I94" s="13"/>
      <c r="J94" s="17"/>
      <c r="K94" s="21" t="str">
        <f t="shared" si="7">IF(B94="","",IF(C94="N","N/A",IF(OR(C94&lt;&gt;"Y",COUNT(D94:G94)&lt;4),"",IF(OR(D94&lt;=0,E94&lt;0,F94&lt;0,G94&lt;0,E94&gt;D94,F94&gt;E94,G94&gt;F94,D94&lt;&gt;INT(D94),E94&lt;&gt;INT(E94),F94&lt;&gt;INT(F94),G94&lt;&gt;INT(G94)),"",G94/D94))))</f>
      </c>
      <c r="L94" s="15" t="str">
        <f t="shared" si="8">IF(B94="","",IF(C94="N",IF(H94="","Add approved N/A reference","N/A documented"),IF(C94&lt;&gt;"Y","Select Y / N",IF(COUNT(D94:G94)&lt;4,"Enter all four counts",IF(OR(D94&lt;0,E94&lt;0,F94&lt;0,G94&lt;0,E94&gt;D94,F94&gt;E94,G94&gt;F94,D94&lt;&gt;INT(D94),E94&lt;&gt;INT(E94),F94&lt;&gt;INT(F94),G94&lt;&gt;INT(G94)),"Review record counts",IF(D94=0,"Set expected count or justify zero scope","Counts consistent"))))))</f>
      </c>
    </row>
    <row r="95" spans="1:12" ht="24" customHeight="1">
      <c r="A95" s="15" t="str">
        <f t="shared" si="6"/>
        <v/>
      </c>
      <c r="B95" s="13"/>
      <c r="C95" s="13"/>
      <c r="D95" s="20"/>
      <c r="E95" s="20"/>
      <c r="F95" s="20"/>
      <c r="G95" s="20"/>
      <c r="H95" s="13"/>
      <c r="I95" s="13"/>
      <c r="J95" s="17"/>
      <c r="K95" s="21" t="str">
        <f t="shared" si="7">IF(B95="","",IF(C95="N","N/A",IF(OR(C95&lt;&gt;"Y",COUNT(D95:G95)&lt;4),"",IF(OR(D95&lt;=0,E95&lt;0,F95&lt;0,G95&lt;0,E95&gt;D95,F95&gt;E95,G95&gt;F95,D95&lt;&gt;INT(D95),E95&lt;&gt;INT(E95),F95&lt;&gt;INT(F95),G95&lt;&gt;INT(G95)),"",G95/D95))))</f>
      </c>
      <c r="L95" s="15" t="str">
        <f t="shared" si="8">IF(B95="","",IF(C95="N",IF(H95="","Add approved N/A reference","N/A documented"),IF(C95&lt;&gt;"Y","Select Y / N",IF(COUNT(D95:G95)&lt;4,"Enter all four counts",IF(OR(D95&lt;0,E95&lt;0,F95&lt;0,G95&lt;0,E95&gt;D95,F95&gt;E95,G95&gt;F95,D95&lt;&gt;INT(D95),E95&lt;&gt;INT(E95),F95&lt;&gt;INT(F95),G95&lt;&gt;INT(G95)),"Review record counts",IF(D95=0,"Set expected count or justify zero scope","Counts consistent"))))))</f>
      </c>
    </row>
    <row r="96" spans="1:12" ht="24" customHeight="1">
      <c r="A96" s="15" t="str">
        <f t="shared" si="6"/>
        <v/>
      </c>
      <c r="B96" s="13"/>
      <c r="C96" s="13"/>
      <c r="D96" s="20"/>
      <c r="E96" s="20"/>
      <c r="F96" s="20"/>
      <c r="G96" s="20"/>
      <c r="H96" s="13"/>
      <c r="I96" s="13"/>
      <c r="J96" s="17"/>
      <c r="K96" s="21" t="str">
        <f t="shared" si="7">IF(B96="","",IF(C96="N","N/A",IF(OR(C96&lt;&gt;"Y",COUNT(D96:G96)&lt;4),"",IF(OR(D96&lt;=0,E96&lt;0,F96&lt;0,G96&lt;0,E96&gt;D96,F96&gt;E96,G96&gt;F96,D96&lt;&gt;INT(D96),E96&lt;&gt;INT(E96),F96&lt;&gt;INT(F96),G96&lt;&gt;INT(G96)),"",G96/D96))))</f>
      </c>
      <c r="L96" s="15" t="str">
        <f t="shared" si="8">IF(B96="","",IF(C96="N",IF(H96="","Add approved N/A reference","N/A documented"),IF(C96&lt;&gt;"Y","Select Y / N",IF(COUNT(D96:G96)&lt;4,"Enter all four counts",IF(OR(D96&lt;0,E96&lt;0,F96&lt;0,G96&lt;0,E96&gt;D96,F96&gt;E96,G96&gt;F96,D96&lt;&gt;INT(D96),E96&lt;&gt;INT(E96),F96&lt;&gt;INT(F96),G96&lt;&gt;INT(G96)),"Review record counts",IF(D96=0,"Set expected count or justify zero scope","Counts consistent"))))))</f>
      </c>
    </row>
    <row r="97" spans="1:12" ht="24" customHeight="1">
      <c r="A97" s="15" t="str">
        <f t="shared" si="6"/>
        <v/>
      </c>
      <c r="B97" s="13"/>
      <c r="C97" s="13"/>
      <c r="D97" s="20"/>
      <c r="E97" s="20"/>
      <c r="F97" s="20"/>
      <c r="G97" s="20"/>
      <c r="H97" s="13"/>
      <c r="I97" s="13"/>
      <c r="J97" s="17"/>
      <c r="K97" s="21" t="str">
        <f t="shared" si="7">IF(B97="","",IF(C97="N","N/A",IF(OR(C97&lt;&gt;"Y",COUNT(D97:G97)&lt;4),"",IF(OR(D97&lt;=0,E97&lt;0,F97&lt;0,G97&lt;0,E97&gt;D97,F97&gt;E97,G97&gt;F97,D97&lt;&gt;INT(D97),E97&lt;&gt;INT(E97),F97&lt;&gt;INT(F97),G97&lt;&gt;INT(G97)),"",G97/D97))))</f>
      </c>
      <c r="L97" s="15" t="str">
        <f t="shared" si="8">IF(B97="","",IF(C97="N",IF(H97="","Add approved N/A reference","N/A documented"),IF(C97&lt;&gt;"Y","Select Y / N",IF(COUNT(D97:G97)&lt;4,"Enter all four counts",IF(OR(D97&lt;0,E97&lt;0,F97&lt;0,G97&lt;0,E97&gt;D97,F97&gt;E97,G97&gt;F97,D97&lt;&gt;INT(D97),E97&lt;&gt;INT(E97),F97&lt;&gt;INT(F97),G97&lt;&gt;INT(G97)),"Review record counts",IF(D97=0,"Set expected count or justify zero scope","Counts consistent"))))))</f>
      </c>
    </row>
    <row r="98" spans="1:12" ht="24" customHeight="1">
      <c r="A98" s="15" t="str">
        <f t="shared" si="6"/>
        <v/>
      </c>
      <c r="B98" s="13"/>
      <c r="C98" s="13"/>
      <c r="D98" s="20"/>
      <c r="E98" s="20"/>
      <c r="F98" s="20"/>
      <c r="G98" s="20"/>
      <c r="H98" s="13"/>
      <c r="I98" s="13"/>
      <c r="J98" s="17"/>
      <c r="K98" s="21" t="str">
        <f t="shared" si="7">IF(B98="","",IF(C98="N","N/A",IF(OR(C98&lt;&gt;"Y",COUNT(D98:G98)&lt;4),"",IF(OR(D98&lt;=0,E98&lt;0,F98&lt;0,G98&lt;0,E98&gt;D98,F98&gt;E98,G98&gt;F98,D98&lt;&gt;INT(D98),E98&lt;&gt;INT(E98),F98&lt;&gt;INT(F98),G98&lt;&gt;INT(G98)),"",G98/D98))))</f>
      </c>
      <c r="L98" s="15" t="str">
        <f t="shared" si="8">IF(B98="","",IF(C98="N",IF(H98="","Add approved N/A reference","N/A documented"),IF(C98&lt;&gt;"Y","Select Y / N",IF(COUNT(D98:G98)&lt;4,"Enter all four counts",IF(OR(D98&lt;0,E98&lt;0,F98&lt;0,G98&lt;0,E98&gt;D98,F98&gt;E98,G98&gt;F98,D98&lt;&gt;INT(D98),E98&lt;&gt;INT(E98),F98&lt;&gt;INT(F98),G98&lt;&gt;INT(G98)),"Review record counts",IF(D98=0,"Set expected count or justify zero scope","Counts consistent"))))))</f>
      </c>
    </row>
    <row r="99" spans="1:12" ht="24" customHeight="1">
      <c r="A99" s="15" t="str">
        <f t="shared" si="6"/>
        <v/>
      </c>
      <c r="B99" s="13"/>
      <c r="C99" s="13"/>
      <c r="D99" s="20"/>
      <c r="E99" s="20"/>
      <c r="F99" s="20"/>
      <c r="G99" s="20"/>
      <c r="H99" s="13"/>
      <c r="I99" s="13"/>
      <c r="J99" s="17"/>
      <c r="K99" s="21" t="str">
        <f t="shared" si="7">IF(B99="","",IF(C99="N","N/A",IF(OR(C99&lt;&gt;"Y",COUNT(D99:G99)&lt;4),"",IF(OR(D99&lt;=0,E99&lt;0,F99&lt;0,G99&lt;0,E99&gt;D99,F99&gt;E99,G99&gt;F99,D99&lt;&gt;INT(D99),E99&lt;&gt;INT(E99),F99&lt;&gt;INT(F99),G99&lt;&gt;INT(G99)),"",G99/D99))))</f>
      </c>
      <c r="L99" s="15" t="str">
        <f t="shared" si="8">IF(B99="","",IF(C99="N",IF(H99="","Add approved N/A reference","N/A documented"),IF(C99&lt;&gt;"Y","Select Y / N",IF(COUNT(D99:G99)&lt;4,"Enter all four counts",IF(OR(D99&lt;0,E99&lt;0,F99&lt;0,G99&lt;0,E99&gt;D99,F99&gt;E99,G99&gt;F99,D99&lt;&gt;INT(D99),E99&lt;&gt;INT(E99),F99&lt;&gt;INT(F99),G99&lt;&gt;INT(G99)),"Review record counts",IF(D99=0,"Set expected count or justify zero scope","Counts consistent"))))))</f>
      </c>
    </row>
    <row r="100" spans="1:12" ht="24" customHeight="1">
      <c r="A100" s="15" t="str">
        <f t="shared" si="6"/>
        <v/>
      </c>
      <c r="B100" s="13"/>
      <c r="C100" s="13"/>
      <c r="D100" s="20"/>
      <c r="E100" s="20"/>
      <c r="F100" s="20"/>
      <c r="G100" s="20"/>
      <c r="H100" s="13"/>
      <c r="I100" s="13"/>
      <c r="J100" s="17"/>
      <c r="K100" s="21" t="str">
        <f t="shared" si="7">IF(B100="","",IF(C100="N","N/A",IF(OR(C100&lt;&gt;"Y",COUNT(D100:G100)&lt;4),"",IF(OR(D100&lt;=0,E100&lt;0,F100&lt;0,G100&lt;0,E100&gt;D100,F100&gt;E100,G100&gt;F100,D100&lt;&gt;INT(D100),E100&lt;&gt;INT(E100),F100&lt;&gt;INT(F100),G100&lt;&gt;INT(G100)),"",G100/D100))))</f>
      </c>
      <c r="L100" s="15" t="str">
        <f t="shared" si="8">IF(B100="","",IF(C100="N",IF(H100="","Add approved N/A reference","N/A documented"),IF(C100&lt;&gt;"Y","Select Y / N",IF(COUNT(D100:G100)&lt;4,"Enter all four counts",IF(OR(D100&lt;0,E100&lt;0,F100&lt;0,G100&lt;0,E100&gt;D100,F100&gt;E100,G100&gt;F100,D100&lt;&gt;INT(D100),E100&lt;&gt;INT(E100),F100&lt;&gt;INT(F100),G100&lt;&gt;INT(G100)),"Review record counts",IF(D100=0,"Set expected count or justify zero scope","Counts consistent"))))))</f>
      </c>
    </row>
    <row r="101" spans="1:12" ht="24" customHeight="1">
      <c r="A101" s="15" t="str">
        <f t="shared" si="6"/>
        <v/>
      </c>
      <c r="B101" s="13"/>
      <c r="C101" s="13"/>
      <c r="D101" s="20"/>
      <c r="E101" s="20"/>
      <c r="F101" s="20"/>
      <c r="G101" s="20"/>
      <c r="H101" s="13"/>
      <c r="I101" s="13"/>
      <c r="J101" s="17"/>
      <c r="K101" s="21" t="str">
        <f t="shared" si="7">IF(B101="","",IF(C101="N","N/A",IF(OR(C101&lt;&gt;"Y",COUNT(D101:G101)&lt;4),"",IF(OR(D101&lt;=0,E101&lt;0,F101&lt;0,G101&lt;0,E101&gt;D101,F101&gt;E101,G101&gt;F101,D101&lt;&gt;INT(D101),E101&lt;&gt;INT(E101),F101&lt;&gt;INT(F101),G101&lt;&gt;INT(G101)),"",G101/D101))))</f>
      </c>
      <c r="L101" s="15" t="str">
        <f t="shared" si="8">IF(B101="","",IF(C101="N",IF(H101="","Add approved N/A reference","N/A documented"),IF(C101&lt;&gt;"Y","Select Y / N",IF(COUNT(D101:G101)&lt;4,"Enter all four counts",IF(OR(D101&lt;0,E101&lt;0,F101&lt;0,G101&lt;0,E101&gt;D101,F101&gt;E101,G101&gt;F101,D101&lt;&gt;INT(D101),E101&lt;&gt;INT(E101),F101&lt;&gt;INT(F101),G101&lt;&gt;INT(G101)),"Review record counts",IF(D101=0,"Set expected count or justify zero scope","Counts consistent"))))))</f>
      </c>
    </row>
    <row r="102" spans="1:12" ht="24" customHeight="1">
      <c r="A102" s="15" t="str">
        <f t="shared" si="6"/>
        <v/>
      </c>
      <c r="B102" s="13"/>
      <c r="C102" s="13"/>
      <c r="D102" s="20"/>
      <c r="E102" s="20"/>
      <c r="F102" s="20"/>
      <c r="G102" s="20"/>
      <c r="H102" s="13"/>
      <c r="I102" s="13"/>
      <c r="J102" s="17"/>
      <c r="K102" s="21" t="str">
        <f t="shared" si="7">IF(B102="","",IF(C102="N","N/A",IF(OR(C102&lt;&gt;"Y",COUNT(D102:G102)&lt;4),"",IF(OR(D102&lt;=0,E102&lt;0,F102&lt;0,G102&lt;0,E102&gt;D102,F102&gt;E102,G102&gt;F102,D102&lt;&gt;INT(D102),E102&lt;&gt;INT(E102),F102&lt;&gt;INT(F102),G102&lt;&gt;INT(G102)),"",G102/D102))))</f>
      </c>
      <c r="L102" s="15" t="str">
        <f t="shared" si="8">IF(B102="","",IF(C102="N",IF(H102="","Add approved N/A reference","N/A documented"),IF(C102&lt;&gt;"Y","Select Y / N",IF(COUNT(D102:G102)&lt;4,"Enter all four counts",IF(OR(D102&lt;0,E102&lt;0,F102&lt;0,G102&lt;0,E102&gt;D102,F102&gt;E102,G102&gt;F102,D102&lt;&gt;INT(D102),E102&lt;&gt;INT(E102),F102&lt;&gt;INT(F102),G102&lt;&gt;INT(G102)),"Review record counts",IF(D102=0,"Set expected count or justify zero scope","Counts consistent"))))))</f>
      </c>
    </row>
    <row r="103" spans="1:12" ht="24" customHeight="1">
      <c r="A103" s="15" t="str">
        <f t="shared" si="6"/>
        <v/>
      </c>
      <c r="B103" s="13"/>
      <c r="C103" s="13"/>
      <c r="D103" s="20"/>
      <c r="E103" s="20"/>
      <c r="F103" s="20"/>
      <c r="G103" s="20"/>
      <c r="H103" s="13"/>
      <c r="I103" s="13"/>
      <c r="J103" s="17"/>
      <c r="K103" s="21" t="str">
        <f t="shared" si="7">IF(B103="","",IF(C103="N","N/A",IF(OR(C103&lt;&gt;"Y",COUNT(D103:G103)&lt;4),"",IF(OR(D103&lt;=0,E103&lt;0,F103&lt;0,G103&lt;0,E103&gt;D103,F103&gt;E103,G103&gt;F103,D103&lt;&gt;INT(D103),E103&lt;&gt;INT(E103),F103&lt;&gt;INT(F103),G103&lt;&gt;INT(G103)),"",G103/D103))))</f>
      </c>
      <c r="L103" s="15" t="str">
        <f t="shared" si="8">IF(B103="","",IF(C103="N",IF(H103="","Add approved N/A reference","N/A documented"),IF(C103&lt;&gt;"Y","Select Y / N",IF(COUNT(D103:G103)&lt;4,"Enter all four counts",IF(OR(D103&lt;0,E103&lt;0,F103&lt;0,G103&lt;0,E103&gt;D103,F103&gt;E103,G103&gt;F103,D103&lt;&gt;INT(D103),E103&lt;&gt;INT(E103),F103&lt;&gt;INT(F103),G103&lt;&gt;INT(G103)),"Review record counts",IF(D103=0,"Set expected count or justify zero scope","Counts consistent"))))))</f>
      </c>
    </row>
    <row r="104" spans="1:12" ht="24" customHeight="1">
      <c r="A104" s="15" t="str">
        <f t="shared" si="6"/>
        <v/>
      </c>
      <c r="B104" s="13"/>
      <c r="C104" s="13"/>
      <c r="D104" s="20"/>
      <c r="E104" s="20"/>
      <c r="F104" s="20"/>
      <c r="G104" s="20"/>
      <c r="H104" s="13"/>
      <c r="I104" s="13"/>
      <c r="J104" s="17"/>
      <c r="K104" s="21" t="str">
        <f t="shared" si="7">IF(B104="","",IF(C104="N","N/A",IF(OR(C104&lt;&gt;"Y",COUNT(D104:G104)&lt;4),"",IF(OR(D104&lt;=0,E104&lt;0,F104&lt;0,G104&lt;0,E104&gt;D104,F104&gt;E104,G104&gt;F104,D104&lt;&gt;INT(D104),E104&lt;&gt;INT(E104),F104&lt;&gt;INT(F104),G104&lt;&gt;INT(G104)),"",G104/D104))))</f>
      </c>
      <c r="L104" s="15" t="str">
        <f t="shared" si="8">IF(B104="","",IF(C104="N",IF(H104="","Add approved N/A reference","N/A documented"),IF(C104&lt;&gt;"Y","Select Y / N",IF(COUNT(D104:G104)&lt;4,"Enter all four counts",IF(OR(D104&lt;0,E104&lt;0,F104&lt;0,G104&lt;0,E104&gt;D104,F104&gt;E104,G104&gt;F104,D104&lt;&gt;INT(D104),E104&lt;&gt;INT(E104),F104&lt;&gt;INT(F104),G104&lt;&gt;INT(G104)),"Review record counts",IF(D104=0,"Set expected count or justify zero scope","Counts consistent"))))))</f>
      </c>
    </row>
    <row r="105" spans="1:12" ht="24" customHeight="1">
      <c r="A105" s="15" t="str">
        <f t="shared" si="6"/>
        <v/>
      </c>
      <c r="B105" s="13"/>
      <c r="C105" s="13"/>
      <c r="D105" s="20"/>
      <c r="E105" s="20"/>
      <c r="F105" s="20"/>
      <c r="G105" s="20"/>
      <c r="H105" s="13"/>
      <c r="I105" s="13"/>
      <c r="J105" s="17"/>
      <c r="K105" s="21" t="str">
        <f t="shared" si="7">IF(B105="","",IF(C105="N","N/A",IF(OR(C105&lt;&gt;"Y",COUNT(D105:G105)&lt;4),"",IF(OR(D105&lt;=0,E105&lt;0,F105&lt;0,G105&lt;0,E105&gt;D105,F105&gt;E105,G105&gt;F105,D105&lt;&gt;INT(D105),E105&lt;&gt;INT(E105),F105&lt;&gt;INT(F105),G105&lt;&gt;INT(G105)),"",G105/D105))))</f>
      </c>
      <c r="L105" s="15" t="str">
        <f t="shared" si="8">IF(B105="","",IF(C105="N",IF(H105="","Add approved N/A reference","N/A documented"),IF(C105&lt;&gt;"Y","Select Y / N",IF(COUNT(D105:G105)&lt;4,"Enter all four counts",IF(OR(D105&lt;0,E105&lt;0,F105&lt;0,G105&lt;0,E105&gt;D105,F105&gt;E105,G105&gt;F105,D105&lt;&gt;INT(D105),E105&lt;&gt;INT(E105),F105&lt;&gt;INT(F105),G105&lt;&gt;INT(G105)),"Review record counts",IF(D105=0,"Set expected count or justify zero scope","Counts consistent"))))))</f>
      </c>
    </row>
    <row r="106" spans="1:12" ht="24" customHeight="1">
      <c r="A106" s="15" t="str">
        <f t="shared" si="6"/>
        <v/>
      </c>
      <c r="B106" s="13"/>
      <c r="C106" s="13"/>
      <c r="D106" s="20"/>
      <c r="E106" s="20"/>
      <c r="F106" s="20"/>
      <c r="G106" s="20"/>
      <c r="H106" s="13"/>
      <c r="I106" s="13"/>
      <c r="J106" s="17"/>
      <c r="K106" s="21" t="str">
        <f t="shared" si="7">IF(B106="","",IF(C106="N","N/A",IF(OR(C106&lt;&gt;"Y",COUNT(D106:G106)&lt;4),"",IF(OR(D106&lt;=0,E106&lt;0,F106&lt;0,G106&lt;0,E106&gt;D106,F106&gt;E106,G106&gt;F106,D106&lt;&gt;INT(D106),E106&lt;&gt;INT(E106),F106&lt;&gt;INT(F106),G106&lt;&gt;INT(G106)),"",G106/D106))))</f>
      </c>
      <c r="L106" s="15" t="str">
        <f t="shared" si="8">IF(B106="","",IF(C106="N",IF(H106="","Add approved N/A reference","N/A documented"),IF(C106&lt;&gt;"Y","Select Y / N",IF(COUNT(D106:G106)&lt;4,"Enter all four counts",IF(OR(D106&lt;0,E106&lt;0,F106&lt;0,G106&lt;0,E106&gt;D106,F106&gt;E106,G106&gt;F106,D106&lt;&gt;INT(D106),E106&lt;&gt;INT(E106),F106&lt;&gt;INT(F106),G106&lt;&gt;INT(G106)),"Review record counts",IF(D106=0,"Set expected count or justify zero scope","Counts consistent"))))))</f>
      </c>
    </row>
    <row r="107" spans="1:12" ht="24" customHeight="1">
      <c r="A107" s="15" t="str">
        <f t="shared" si="6"/>
        <v/>
      </c>
      <c r="B107" s="13"/>
      <c r="C107" s="13"/>
      <c r="D107" s="20"/>
      <c r="E107" s="20"/>
      <c r="F107" s="20"/>
      <c r="G107" s="20"/>
      <c r="H107" s="13"/>
      <c r="I107" s="13"/>
      <c r="J107" s="17"/>
      <c r="K107" s="21" t="str">
        <f t="shared" si="7">IF(B107="","",IF(C107="N","N/A",IF(OR(C107&lt;&gt;"Y",COUNT(D107:G107)&lt;4),"",IF(OR(D107&lt;=0,E107&lt;0,F107&lt;0,G107&lt;0,E107&gt;D107,F107&gt;E107,G107&gt;F107,D107&lt;&gt;INT(D107),E107&lt;&gt;INT(E107),F107&lt;&gt;INT(F107),G107&lt;&gt;INT(G107)),"",G107/D107))))</f>
      </c>
      <c r="L107" s="15" t="str">
        <f t="shared" si="8">IF(B107="","",IF(C107="N",IF(H107="","Add approved N/A reference","N/A documented"),IF(C107&lt;&gt;"Y","Select Y / N",IF(COUNT(D107:G107)&lt;4,"Enter all four counts",IF(OR(D107&lt;0,E107&lt;0,F107&lt;0,G107&lt;0,E107&gt;D107,F107&gt;E107,G107&gt;F107,D107&lt;&gt;INT(D107),E107&lt;&gt;INT(E107),F107&lt;&gt;INT(F107),G107&lt;&gt;INT(G107)),"Review record counts",IF(D107=0,"Set expected count or justify zero scope","Counts consistent"))))))</f>
      </c>
    </row>
    <row r="108" spans="1:12" ht="24" customHeight="1">
      <c r="A108" s="15" t="str">
        <f t="shared" si="6"/>
        <v/>
      </c>
      <c r="B108" s="13"/>
      <c r="C108" s="13"/>
      <c r="D108" s="20"/>
      <c r="E108" s="20"/>
      <c r="F108" s="20"/>
      <c r="G108" s="20"/>
      <c r="H108" s="13"/>
      <c r="I108" s="13"/>
      <c r="J108" s="17"/>
      <c r="K108" s="21" t="str">
        <f t="shared" si="7">IF(B108="","",IF(C108="N","N/A",IF(OR(C108&lt;&gt;"Y",COUNT(D108:G108)&lt;4),"",IF(OR(D108&lt;=0,E108&lt;0,F108&lt;0,G108&lt;0,E108&gt;D108,F108&gt;E108,G108&gt;F108,D108&lt;&gt;INT(D108),E108&lt;&gt;INT(E108),F108&lt;&gt;INT(F108),G108&lt;&gt;INT(G108)),"",G108/D108))))</f>
      </c>
      <c r="L108" s="15" t="str">
        <f t="shared" si="8">IF(B108="","",IF(C108="N",IF(H108="","Add approved N/A reference","N/A documented"),IF(C108&lt;&gt;"Y","Select Y / N",IF(COUNT(D108:G108)&lt;4,"Enter all four counts",IF(OR(D108&lt;0,E108&lt;0,F108&lt;0,G108&lt;0,E108&gt;D108,F108&gt;E108,G108&gt;F108,D108&lt;&gt;INT(D108),E108&lt;&gt;INT(E108),F108&lt;&gt;INT(F108),G108&lt;&gt;INT(G108)),"Review record counts",IF(D108=0,"Set expected count or justify zero scope","Counts consistent"))))))</f>
      </c>
    </row>
    <row r="109" spans="1:12" ht="24" customHeight="1">
      <c r="A109" s="15" t="str">
        <f t="shared" ref="A109:A140" si="9">IF(B109="","",ROW()-12)</f>
        <v/>
      </c>
      <c r="B109" s="13"/>
      <c r="C109" s="13"/>
      <c r="D109" s="20"/>
      <c r="E109" s="20"/>
      <c r="F109" s="20"/>
      <c r="G109" s="20"/>
      <c r="H109" s="13"/>
      <c r="I109" s="13"/>
      <c r="J109" s="17"/>
      <c r="K109" s="21" t="str">
        <f t="shared" ref="K109:K140" si="10">IF(B109="","",IF(C109="N","N/A",IF(OR(C109&lt;&gt;"Y",COUNT(D109:G109)&lt;4),"",IF(OR(D109&lt;=0,E109&lt;0,F109&lt;0,G109&lt;0,E109&gt;D109,F109&gt;E109,G109&gt;F109,D109&lt;&gt;INT(D109),E109&lt;&gt;INT(E109),F109&lt;&gt;INT(F109),G109&lt;&gt;INT(G109)),"",G109/D109))))</f>
      </c>
      <c r="L109" s="15" t="str">
        <f t="shared" ref="L109:L140" si="11">IF(B109="","",IF(C109="N",IF(H109="","Add approved N/A reference","N/A documented"),IF(C109&lt;&gt;"Y","Select Y / N",IF(COUNT(D109:G109)&lt;4,"Enter all four counts",IF(OR(D109&lt;0,E109&lt;0,F109&lt;0,G109&lt;0,E109&gt;D109,F109&gt;E109,G109&gt;F109,D109&lt;&gt;INT(D109),E109&lt;&gt;INT(E109),F109&lt;&gt;INT(F109),G109&lt;&gt;INT(G109)),"Review record counts",IF(D109=0,"Set expected count or justify zero scope","Counts consistent"))))))</f>
      </c>
    </row>
    <row r="110" spans="1:12" ht="24" customHeight="1">
      <c r="A110" s="15" t="str">
        <f t="shared" si="9"/>
        <v/>
      </c>
      <c r="B110" s="13"/>
      <c r="C110" s="13"/>
      <c r="D110" s="20"/>
      <c r="E110" s="20"/>
      <c r="F110" s="20"/>
      <c r="G110" s="20"/>
      <c r="H110" s="13"/>
      <c r="I110" s="13"/>
      <c r="J110" s="17"/>
      <c r="K110" s="21" t="str">
        <f t="shared" si="10">IF(B110="","",IF(C110="N","N/A",IF(OR(C110&lt;&gt;"Y",COUNT(D110:G110)&lt;4),"",IF(OR(D110&lt;=0,E110&lt;0,F110&lt;0,G110&lt;0,E110&gt;D110,F110&gt;E110,G110&gt;F110,D110&lt;&gt;INT(D110),E110&lt;&gt;INT(E110),F110&lt;&gt;INT(F110),G110&lt;&gt;INT(G110)),"",G110/D110))))</f>
      </c>
      <c r="L110" s="15" t="str">
        <f t="shared" si="11">IF(B110="","",IF(C110="N",IF(H110="","Add approved N/A reference","N/A documented"),IF(C110&lt;&gt;"Y","Select Y / N",IF(COUNT(D110:G110)&lt;4,"Enter all four counts",IF(OR(D110&lt;0,E110&lt;0,F110&lt;0,G110&lt;0,E110&gt;D110,F110&gt;E110,G110&gt;F110,D110&lt;&gt;INT(D110),E110&lt;&gt;INT(E110),F110&lt;&gt;INT(F110),G110&lt;&gt;INT(G110)),"Review record counts",IF(D110=0,"Set expected count or justify zero scope","Counts consistent"))))))</f>
      </c>
    </row>
    <row r="111" spans="1:12" ht="24" customHeight="1">
      <c r="A111" s="15" t="str">
        <f t="shared" si="9"/>
        <v/>
      </c>
      <c r="B111" s="13"/>
      <c r="C111" s="13"/>
      <c r="D111" s="20"/>
      <c r="E111" s="20"/>
      <c r="F111" s="20"/>
      <c r="G111" s="20"/>
      <c r="H111" s="13"/>
      <c r="I111" s="13"/>
      <c r="J111" s="17"/>
      <c r="K111" s="21" t="str">
        <f t="shared" si="10">IF(B111="","",IF(C111="N","N/A",IF(OR(C111&lt;&gt;"Y",COUNT(D111:G111)&lt;4),"",IF(OR(D111&lt;=0,E111&lt;0,F111&lt;0,G111&lt;0,E111&gt;D111,F111&gt;E111,G111&gt;F111,D111&lt;&gt;INT(D111),E111&lt;&gt;INT(E111),F111&lt;&gt;INT(F111),G111&lt;&gt;INT(G111)),"",G111/D111))))</f>
      </c>
      <c r="L111" s="15" t="str">
        <f t="shared" si="11">IF(B111="","",IF(C111="N",IF(H111="","Add approved N/A reference","N/A documented"),IF(C111&lt;&gt;"Y","Select Y / N",IF(COUNT(D111:G111)&lt;4,"Enter all four counts",IF(OR(D111&lt;0,E111&lt;0,F111&lt;0,G111&lt;0,E111&gt;D111,F111&gt;E111,G111&gt;F111,D111&lt;&gt;INT(D111),E111&lt;&gt;INT(E111),F111&lt;&gt;INT(F111),G111&lt;&gt;INT(G111)),"Review record counts",IF(D111=0,"Set expected count or justify zero scope","Counts consistent"))))))</f>
      </c>
    </row>
    <row r="112" spans="1:12" ht="24" customHeight="1">
      <c r="A112" s="15" t="str">
        <f t="shared" si="9"/>
        <v/>
      </c>
      <c r="B112" s="13"/>
      <c r="C112" s="13"/>
      <c r="D112" s="20"/>
      <c r="E112" s="20"/>
      <c r="F112" s="20"/>
      <c r="G112" s="20"/>
      <c r="H112" s="13"/>
      <c r="I112" s="13"/>
      <c r="J112" s="17"/>
      <c r="K112" s="21" t="str">
        <f t="shared" si="10">IF(B112="","",IF(C112="N","N/A",IF(OR(C112&lt;&gt;"Y",COUNT(D112:G112)&lt;4),"",IF(OR(D112&lt;=0,E112&lt;0,F112&lt;0,G112&lt;0,E112&gt;D112,F112&gt;E112,G112&gt;F112,D112&lt;&gt;INT(D112),E112&lt;&gt;INT(E112),F112&lt;&gt;INT(F112),G112&lt;&gt;INT(G112)),"",G112/D112))))</f>
      </c>
      <c r="L112" s="15" t="str">
        <f t="shared" si="11">IF(B112="","",IF(C112="N",IF(H112="","Add approved N/A reference","N/A documented"),IF(C112&lt;&gt;"Y","Select Y / N",IF(COUNT(D112:G112)&lt;4,"Enter all four counts",IF(OR(D112&lt;0,E112&lt;0,F112&lt;0,G112&lt;0,E112&gt;D112,F112&gt;E112,G112&gt;F112,D112&lt;&gt;INT(D112),E112&lt;&gt;INT(E112),F112&lt;&gt;INT(F112),G112&lt;&gt;INT(G112)),"Review record counts",IF(D112=0,"Set expected count or justify zero scope","Counts consistent"))))))</f>
      </c>
    </row>
    <row r="113" spans="1:12" ht="24" customHeight="1">
      <c r="A113" s="15" t="str">
        <f t="shared" si="9"/>
        <v/>
      </c>
      <c r="B113" s="13"/>
      <c r="C113" s="13"/>
      <c r="D113" s="20"/>
      <c r="E113" s="20"/>
      <c r="F113" s="20"/>
      <c r="G113" s="20"/>
      <c r="H113" s="13"/>
      <c r="I113" s="13"/>
      <c r="J113" s="17"/>
      <c r="K113" s="21" t="str">
        <f t="shared" si="10">IF(B113="","",IF(C113="N","N/A",IF(OR(C113&lt;&gt;"Y",COUNT(D113:G113)&lt;4),"",IF(OR(D113&lt;=0,E113&lt;0,F113&lt;0,G113&lt;0,E113&gt;D113,F113&gt;E113,G113&gt;F113,D113&lt;&gt;INT(D113),E113&lt;&gt;INT(E113),F113&lt;&gt;INT(F113),G113&lt;&gt;INT(G113)),"",G113/D113))))</f>
      </c>
      <c r="L113" s="15" t="str">
        <f t="shared" si="11">IF(B113="","",IF(C113="N",IF(H113="","Add approved N/A reference","N/A documented"),IF(C113&lt;&gt;"Y","Select Y / N",IF(COUNT(D113:G113)&lt;4,"Enter all four counts",IF(OR(D113&lt;0,E113&lt;0,F113&lt;0,G113&lt;0,E113&gt;D113,F113&gt;E113,G113&gt;F113,D113&lt;&gt;INT(D113),E113&lt;&gt;INT(E113),F113&lt;&gt;INT(F113),G113&lt;&gt;INT(G113)),"Review record counts",IF(D113=0,"Set expected count or justify zero scope","Counts consistent"))))))</f>
      </c>
    </row>
    <row r="114" spans="1:12" ht="24" customHeight="1">
      <c r="A114" s="15" t="str">
        <f t="shared" si="9"/>
        <v/>
      </c>
      <c r="B114" s="13"/>
      <c r="C114" s="13"/>
      <c r="D114" s="20"/>
      <c r="E114" s="20"/>
      <c r="F114" s="20"/>
      <c r="G114" s="20"/>
      <c r="H114" s="13"/>
      <c r="I114" s="13"/>
      <c r="J114" s="17"/>
      <c r="K114" s="21" t="str">
        <f t="shared" si="10">IF(B114="","",IF(C114="N","N/A",IF(OR(C114&lt;&gt;"Y",COUNT(D114:G114)&lt;4),"",IF(OR(D114&lt;=0,E114&lt;0,F114&lt;0,G114&lt;0,E114&gt;D114,F114&gt;E114,G114&gt;F114,D114&lt;&gt;INT(D114),E114&lt;&gt;INT(E114),F114&lt;&gt;INT(F114),G114&lt;&gt;INT(G114)),"",G114/D114))))</f>
      </c>
      <c r="L114" s="15" t="str">
        <f t="shared" si="11">IF(B114="","",IF(C114="N",IF(H114="","Add approved N/A reference","N/A documented"),IF(C114&lt;&gt;"Y","Select Y / N",IF(COUNT(D114:G114)&lt;4,"Enter all four counts",IF(OR(D114&lt;0,E114&lt;0,F114&lt;0,G114&lt;0,E114&gt;D114,F114&gt;E114,G114&gt;F114,D114&lt;&gt;INT(D114),E114&lt;&gt;INT(E114),F114&lt;&gt;INT(F114),G114&lt;&gt;INT(G114)),"Review record counts",IF(D114=0,"Set expected count or justify zero scope","Counts consistent"))))))</f>
      </c>
    </row>
    <row r="115" spans="1:12" ht="24" customHeight="1">
      <c r="A115" s="15" t="str">
        <f t="shared" si="9"/>
        <v/>
      </c>
      <c r="B115" s="13"/>
      <c r="C115" s="13"/>
      <c r="D115" s="20"/>
      <c r="E115" s="20"/>
      <c r="F115" s="20"/>
      <c r="G115" s="20"/>
      <c r="H115" s="13"/>
      <c r="I115" s="13"/>
      <c r="J115" s="17"/>
      <c r="K115" s="21" t="str">
        <f t="shared" si="10">IF(B115="","",IF(C115="N","N/A",IF(OR(C115&lt;&gt;"Y",COUNT(D115:G115)&lt;4),"",IF(OR(D115&lt;=0,E115&lt;0,F115&lt;0,G115&lt;0,E115&gt;D115,F115&gt;E115,G115&gt;F115,D115&lt;&gt;INT(D115),E115&lt;&gt;INT(E115),F115&lt;&gt;INT(F115),G115&lt;&gt;INT(G115)),"",G115/D115))))</f>
      </c>
      <c r="L115" s="15" t="str">
        <f t="shared" si="11">IF(B115="","",IF(C115="N",IF(H115="","Add approved N/A reference","N/A documented"),IF(C115&lt;&gt;"Y","Select Y / N",IF(COUNT(D115:G115)&lt;4,"Enter all four counts",IF(OR(D115&lt;0,E115&lt;0,F115&lt;0,G115&lt;0,E115&gt;D115,F115&gt;E115,G115&gt;F115,D115&lt;&gt;INT(D115),E115&lt;&gt;INT(E115),F115&lt;&gt;INT(F115),G115&lt;&gt;INT(G115)),"Review record counts",IF(D115=0,"Set expected count or justify zero scope","Counts consistent"))))))</f>
      </c>
    </row>
    <row r="116" spans="1:12" ht="24" customHeight="1">
      <c r="A116" s="15" t="str">
        <f t="shared" si="9"/>
        <v/>
      </c>
      <c r="B116" s="13"/>
      <c r="C116" s="13"/>
      <c r="D116" s="20"/>
      <c r="E116" s="20"/>
      <c r="F116" s="20"/>
      <c r="G116" s="20"/>
      <c r="H116" s="13"/>
      <c r="I116" s="13"/>
      <c r="J116" s="17"/>
      <c r="K116" s="21" t="str">
        <f t="shared" si="10">IF(B116="","",IF(C116="N","N/A",IF(OR(C116&lt;&gt;"Y",COUNT(D116:G116)&lt;4),"",IF(OR(D116&lt;=0,E116&lt;0,F116&lt;0,G116&lt;0,E116&gt;D116,F116&gt;E116,G116&gt;F116,D116&lt;&gt;INT(D116),E116&lt;&gt;INT(E116),F116&lt;&gt;INT(F116),G116&lt;&gt;INT(G116)),"",G116/D116))))</f>
      </c>
      <c r="L116" s="15" t="str">
        <f t="shared" si="11">IF(B116="","",IF(C116="N",IF(H116="","Add approved N/A reference","N/A documented"),IF(C116&lt;&gt;"Y","Select Y / N",IF(COUNT(D116:G116)&lt;4,"Enter all four counts",IF(OR(D116&lt;0,E116&lt;0,F116&lt;0,G116&lt;0,E116&gt;D116,F116&gt;E116,G116&gt;F116,D116&lt;&gt;INT(D116),E116&lt;&gt;INT(E116),F116&lt;&gt;INT(F116),G116&lt;&gt;INT(G116)),"Review record counts",IF(D116=0,"Set expected count or justify zero scope","Counts consistent"))))))</f>
      </c>
    </row>
    <row r="117" spans="1:12" ht="24" customHeight="1">
      <c r="A117" s="15" t="str">
        <f t="shared" si="9"/>
        <v/>
      </c>
      <c r="B117" s="13"/>
      <c r="C117" s="13"/>
      <c r="D117" s="20"/>
      <c r="E117" s="20"/>
      <c r="F117" s="20"/>
      <c r="G117" s="20"/>
      <c r="H117" s="13"/>
      <c r="I117" s="13"/>
      <c r="J117" s="17"/>
      <c r="K117" s="21" t="str">
        <f t="shared" si="10">IF(B117="","",IF(C117="N","N/A",IF(OR(C117&lt;&gt;"Y",COUNT(D117:G117)&lt;4),"",IF(OR(D117&lt;=0,E117&lt;0,F117&lt;0,G117&lt;0,E117&gt;D117,F117&gt;E117,G117&gt;F117,D117&lt;&gt;INT(D117),E117&lt;&gt;INT(E117),F117&lt;&gt;INT(F117),G117&lt;&gt;INT(G117)),"",G117/D117))))</f>
      </c>
      <c r="L117" s="15" t="str">
        <f t="shared" si="11">IF(B117="","",IF(C117="N",IF(H117="","Add approved N/A reference","N/A documented"),IF(C117&lt;&gt;"Y","Select Y / N",IF(COUNT(D117:G117)&lt;4,"Enter all four counts",IF(OR(D117&lt;0,E117&lt;0,F117&lt;0,G117&lt;0,E117&gt;D117,F117&gt;E117,G117&gt;F117,D117&lt;&gt;INT(D117),E117&lt;&gt;INT(E117),F117&lt;&gt;INT(F117),G117&lt;&gt;INT(G117)),"Review record counts",IF(D117=0,"Set expected count or justify zero scope","Counts consistent"))))))</f>
      </c>
    </row>
    <row r="118" spans="1:12" ht="24" customHeight="1">
      <c r="A118" s="15" t="str">
        <f t="shared" si="9"/>
        <v/>
      </c>
      <c r="B118" s="13"/>
      <c r="C118" s="13"/>
      <c r="D118" s="20"/>
      <c r="E118" s="20"/>
      <c r="F118" s="20"/>
      <c r="G118" s="20"/>
      <c r="H118" s="13"/>
      <c r="I118" s="13"/>
      <c r="J118" s="17"/>
      <c r="K118" s="21" t="str">
        <f t="shared" si="10">IF(B118="","",IF(C118="N","N/A",IF(OR(C118&lt;&gt;"Y",COUNT(D118:G118)&lt;4),"",IF(OR(D118&lt;=0,E118&lt;0,F118&lt;0,G118&lt;0,E118&gt;D118,F118&gt;E118,G118&gt;F118,D118&lt;&gt;INT(D118),E118&lt;&gt;INT(E118),F118&lt;&gt;INT(F118),G118&lt;&gt;INT(G118)),"",G118/D118))))</f>
      </c>
      <c r="L118" s="15" t="str">
        <f t="shared" si="11">IF(B118="","",IF(C118="N",IF(H118="","Add approved N/A reference","N/A documented"),IF(C118&lt;&gt;"Y","Select Y / N",IF(COUNT(D118:G118)&lt;4,"Enter all four counts",IF(OR(D118&lt;0,E118&lt;0,F118&lt;0,G118&lt;0,E118&gt;D118,F118&gt;E118,G118&gt;F118,D118&lt;&gt;INT(D118),E118&lt;&gt;INT(E118),F118&lt;&gt;INT(F118),G118&lt;&gt;INT(G118)),"Review record counts",IF(D118=0,"Set expected count or justify zero scope","Counts consistent"))))))</f>
      </c>
    </row>
    <row r="119" spans="1:12" ht="24" customHeight="1">
      <c r="A119" s="15" t="str">
        <f t="shared" si="9"/>
        <v/>
      </c>
      <c r="B119" s="13"/>
      <c r="C119" s="13"/>
      <c r="D119" s="20"/>
      <c r="E119" s="20"/>
      <c r="F119" s="20"/>
      <c r="G119" s="20"/>
      <c r="H119" s="13"/>
      <c r="I119" s="13"/>
      <c r="J119" s="17"/>
      <c r="K119" s="21" t="str">
        <f t="shared" si="10">IF(B119="","",IF(C119="N","N/A",IF(OR(C119&lt;&gt;"Y",COUNT(D119:G119)&lt;4),"",IF(OR(D119&lt;=0,E119&lt;0,F119&lt;0,G119&lt;0,E119&gt;D119,F119&gt;E119,G119&gt;F119,D119&lt;&gt;INT(D119),E119&lt;&gt;INT(E119),F119&lt;&gt;INT(F119),G119&lt;&gt;INT(G119)),"",G119/D119))))</f>
      </c>
      <c r="L119" s="15" t="str">
        <f t="shared" si="11">IF(B119="","",IF(C119="N",IF(H119="","Add approved N/A reference","N/A documented"),IF(C119&lt;&gt;"Y","Select Y / N",IF(COUNT(D119:G119)&lt;4,"Enter all four counts",IF(OR(D119&lt;0,E119&lt;0,F119&lt;0,G119&lt;0,E119&gt;D119,F119&gt;E119,G119&gt;F119,D119&lt;&gt;INT(D119),E119&lt;&gt;INT(E119),F119&lt;&gt;INT(F119),G119&lt;&gt;INT(G119)),"Review record counts",IF(D119=0,"Set expected count or justify zero scope","Counts consistent"))))))</f>
      </c>
    </row>
    <row r="120" spans="1:12" ht="24" customHeight="1">
      <c r="A120" s="15" t="str">
        <f t="shared" si="9"/>
        <v/>
      </c>
      <c r="B120" s="13"/>
      <c r="C120" s="13"/>
      <c r="D120" s="20"/>
      <c r="E120" s="20"/>
      <c r="F120" s="20"/>
      <c r="G120" s="20"/>
      <c r="H120" s="13"/>
      <c r="I120" s="13"/>
      <c r="J120" s="17"/>
      <c r="K120" s="21" t="str">
        <f t="shared" si="10">IF(B120="","",IF(C120="N","N/A",IF(OR(C120&lt;&gt;"Y",COUNT(D120:G120)&lt;4),"",IF(OR(D120&lt;=0,E120&lt;0,F120&lt;0,G120&lt;0,E120&gt;D120,F120&gt;E120,G120&gt;F120,D120&lt;&gt;INT(D120),E120&lt;&gt;INT(E120),F120&lt;&gt;INT(F120),G120&lt;&gt;INT(G120)),"",G120/D120))))</f>
      </c>
      <c r="L120" s="15" t="str">
        <f t="shared" si="11">IF(B120="","",IF(C120="N",IF(H120="","Add approved N/A reference","N/A documented"),IF(C120&lt;&gt;"Y","Select Y / N",IF(COUNT(D120:G120)&lt;4,"Enter all four counts",IF(OR(D120&lt;0,E120&lt;0,F120&lt;0,G120&lt;0,E120&gt;D120,F120&gt;E120,G120&gt;F120,D120&lt;&gt;INT(D120),E120&lt;&gt;INT(E120),F120&lt;&gt;INT(F120),G120&lt;&gt;INT(G120)),"Review record counts",IF(D120=0,"Set expected count or justify zero scope","Counts consistent"))))))</f>
      </c>
    </row>
    <row r="121" spans="1:12" ht="24" customHeight="1">
      <c r="A121" s="15" t="str">
        <f t="shared" si="9"/>
        <v/>
      </c>
      <c r="B121" s="13"/>
      <c r="C121" s="13"/>
      <c r="D121" s="20"/>
      <c r="E121" s="20"/>
      <c r="F121" s="20"/>
      <c r="G121" s="20"/>
      <c r="H121" s="13"/>
      <c r="I121" s="13"/>
      <c r="J121" s="17"/>
      <c r="K121" s="21" t="str">
        <f t="shared" si="10">IF(B121="","",IF(C121="N","N/A",IF(OR(C121&lt;&gt;"Y",COUNT(D121:G121)&lt;4),"",IF(OR(D121&lt;=0,E121&lt;0,F121&lt;0,G121&lt;0,E121&gt;D121,F121&gt;E121,G121&gt;F121,D121&lt;&gt;INT(D121),E121&lt;&gt;INT(E121),F121&lt;&gt;INT(F121),G121&lt;&gt;INT(G121)),"",G121/D121))))</f>
      </c>
      <c r="L121" s="15" t="str">
        <f t="shared" si="11">IF(B121="","",IF(C121="N",IF(H121="","Add approved N/A reference","N/A documented"),IF(C121&lt;&gt;"Y","Select Y / N",IF(COUNT(D121:G121)&lt;4,"Enter all four counts",IF(OR(D121&lt;0,E121&lt;0,F121&lt;0,G121&lt;0,E121&gt;D121,F121&gt;E121,G121&gt;F121,D121&lt;&gt;INT(D121),E121&lt;&gt;INT(E121),F121&lt;&gt;INT(F121),G121&lt;&gt;INT(G121)),"Review record counts",IF(D121=0,"Set expected count or justify zero scope","Counts consistent"))))))</f>
      </c>
    </row>
    <row r="122" spans="1:12" ht="24" customHeight="1">
      <c r="A122" s="15" t="str">
        <f t="shared" si="9"/>
        <v/>
      </c>
      <c r="B122" s="13"/>
      <c r="C122" s="13"/>
      <c r="D122" s="20"/>
      <c r="E122" s="20"/>
      <c r="F122" s="20"/>
      <c r="G122" s="20"/>
      <c r="H122" s="13"/>
      <c r="I122" s="13"/>
      <c r="J122" s="17"/>
      <c r="K122" s="21" t="str">
        <f t="shared" si="10">IF(B122="","",IF(C122="N","N/A",IF(OR(C122&lt;&gt;"Y",COUNT(D122:G122)&lt;4),"",IF(OR(D122&lt;=0,E122&lt;0,F122&lt;0,G122&lt;0,E122&gt;D122,F122&gt;E122,G122&gt;F122,D122&lt;&gt;INT(D122),E122&lt;&gt;INT(E122),F122&lt;&gt;INT(F122),G122&lt;&gt;INT(G122)),"",G122/D122))))</f>
      </c>
      <c r="L122" s="15" t="str">
        <f t="shared" si="11">IF(B122="","",IF(C122="N",IF(H122="","Add approved N/A reference","N/A documented"),IF(C122&lt;&gt;"Y","Select Y / N",IF(COUNT(D122:G122)&lt;4,"Enter all four counts",IF(OR(D122&lt;0,E122&lt;0,F122&lt;0,G122&lt;0,E122&gt;D122,F122&gt;E122,G122&gt;F122,D122&lt;&gt;INT(D122),E122&lt;&gt;INT(E122),F122&lt;&gt;INT(F122),G122&lt;&gt;INT(G122)),"Review record counts",IF(D122=0,"Set expected count or justify zero scope","Counts consistent"))))))</f>
      </c>
    </row>
    <row r="123" spans="1:12" ht="24" customHeight="1">
      <c r="A123" s="15" t="str">
        <f t="shared" si="9"/>
        <v/>
      </c>
      <c r="B123" s="13"/>
      <c r="C123" s="13"/>
      <c r="D123" s="20"/>
      <c r="E123" s="20"/>
      <c r="F123" s="20"/>
      <c r="G123" s="20"/>
      <c r="H123" s="13"/>
      <c r="I123" s="13"/>
      <c r="J123" s="17"/>
      <c r="K123" s="21" t="str">
        <f t="shared" si="10">IF(B123="","",IF(C123="N","N/A",IF(OR(C123&lt;&gt;"Y",COUNT(D123:G123)&lt;4),"",IF(OR(D123&lt;=0,E123&lt;0,F123&lt;0,G123&lt;0,E123&gt;D123,F123&gt;E123,G123&gt;F123,D123&lt;&gt;INT(D123),E123&lt;&gt;INT(E123),F123&lt;&gt;INT(F123),G123&lt;&gt;INT(G123)),"",G123/D123))))</f>
      </c>
      <c r="L123" s="15" t="str">
        <f t="shared" si="11">IF(B123="","",IF(C123="N",IF(H123="","Add approved N/A reference","N/A documented"),IF(C123&lt;&gt;"Y","Select Y / N",IF(COUNT(D123:G123)&lt;4,"Enter all four counts",IF(OR(D123&lt;0,E123&lt;0,F123&lt;0,G123&lt;0,E123&gt;D123,F123&gt;E123,G123&gt;F123,D123&lt;&gt;INT(D123),E123&lt;&gt;INT(E123),F123&lt;&gt;INT(F123),G123&lt;&gt;INT(G123)),"Review record counts",IF(D123=0,"Set expected count or justify zero scope","Counts consistent"))))))</f>
      </c>
    </row>
    <row r="124" spans="1:12" ht="24" customHeight="1">
      <c r="A124" s="15" t="str">
        <f t="shared" si="9"/>
        <v/>
      </c>
      <c r="B124" s="13"/>
      <c r="C124" s="13"/>
      <c r="D124" s="20"/>
      <c r="E124" s="20"/>
      <c r="F124" s="20"/>
      <c r="G124" s="20"/>
      <c r="H124" s="13"/>
      <c r="I124" s="13"/>
      <c r="J124" s="17"/>
      <c r="K124" s="21" t="str">
        <f t="shared" si="10">IF(B124="","",IF(C124="N","N/A",IF(OR(C124&lt;&gt;"Y",COUNT(D124:G124)&lt;4),"",IF(OR(D124&lt;=0,E124&lt;0,F124&lt;0,G124&lt;0,E124&gt;D124,F124&gt;E124,G124&gt;F124,D124&lt;&gt;INT(D124),E124&lt;&gt;INT(E124),F124&lt;&gt;INT(F124),G124&lt;&gt;INT(G124)),"",G124/D124))))</f>
      </c>
      <c r="L124" s="15" t="str">
        <f t="shared" si="11">IF(B124="","",IF(C124="N",IF(H124="","Add approved N/A reference","N/A documented"),IF(C124&lt;&gt;"Y","Select Y / N",IF(COUNT(D124:G124)&lt;4,"Enter all four counts",IF(OR(D124&lt;0,E124&lt;0,F124&lt;0,G124&lt;0,E124&gt;D124,F124&gt;E124,G124&gt;F124,D124&lt;&gt;INT(D124),E124&lt;&gt;INT(E124),F124&lt;&gt;INT(F124),G124&lt;&gt;INT(G124)),"Review record counts",IF(D124=0,"Set expected count or justify zero scope","Counts consistent"))))))</f>
      </c>
    </row>
    <row r="125" spans="1:12" ht="24" customHeight="1">
      <c r="A125" s="15" t="str">
        <f t="shared" si="9"/>
        <v/>
      </c>
      <c r="B125" s="13"/>
      <c r="C125" s="13"/>
      <c r="D125" s="20"/>
      <c r="E125" s="20"/>
      <c r="F125" s="20"/>
      <c r="G125" s="20"/>
      <c r="H125" s="13"/>
      <c r="I125" s="13"/>
      <c r="J125" s="17"/>
      <c r="K125" s="21" t="str">
        <f t="shared" si="10">IF(B125="","",IF(C125="N","N/A",IF(OR(C125&lt;&gt;"Y",COUNT(D125:G125)&lt;4),"",IF(OR(D125&lt;=0,E125&lt;0,F125&lt;0,G125&lt;0,E125&gt;D125,F125&gt;E125,G125&gt;F125,D125&lt;&gt;INT(D125),E125&lt;&gt;INT(E125),F125&lt;&gt;INT(F125),G125&lt;&gt;INT(G125)),"",G125/D125))))</f>
      </c>
      <c r="L125" s="15" t="str">
        <f t="shared" si="11">IF(B125="","",IF(C125="N",IF(H125="","Add approved N/A reference","N/A documented"),IF(C125&lt;&gt;"Y","Select Y / N",IF(COUNT(D125:G125)&lt;4,"Enter all four counts",IF(OR(D125&lt;0,E125&lt;0,F125&lt;0,G125&lt;0,E125&gt;D125,F125&gt;E125,G125&gt;F125,D125&lt;&gt;INT(D125),E125&lt;&gt;INT(E125),F125&lt;&gt;INT(F125),G125&lt;&gt;INT(G125)),"Review record counts",IF(D125=0,"Set expected count or justify zero scope","Counts consistent"))))))</f>
      </c>
    </row>
    <row r="126" spans="1:12" ht="24" customHeight="1">
      <c r="A126" s="15" t="str">
        <f t="shared" si="9"/>
        <v/>
      </c>
      <c r="B126" s="13"/>
      <c r="C126" s="13"/>
      <c r="D126" s="20"/>
      <c r="E126" s="20"/>
      <c r="F126" s="20"/>
      <c r="G126" s="20"/>
      <c r="H126" s="13"/>
      <c r="I126" s="13"/>
      <c r="J126" s="17"/>
      <c r="K126" s="21" t="str">
        <f t="shared" si="10">IF(B126="","",IF(C126="N","N/A",IF(OR(C126&lt;&gt;"Y",COUNT(D126:G126)&lt;4),"",IF(OR(D126&lt;=0,E126&lt;0,F126&lt;0,G126&lt;0,E126&gt;D126,F126&gt;E126,G126&gt;F126,D126&lt;&gt;INT(D126),E126&lt;&gt;INT(E126),F126&lt;&gt;INT(F126),G126&lt;&gt;INT(G126)),"",G126/D126))))</f>
      </c>
      <c r="L126" s="15" t="str">
        <f t="shared" si="11">IF(B126="","",IF(C126="N",IF(H126="","Add approved N/A reference","N/A documented"),IF(C126&lt;&gt;"Y","Select Y / N",IF(COUNT(D126:G126)&lt;4,"Enter all four counts",IF(OR(D126&lt;0,E126&lt;0,F126&lt;0,G126&lt;0,E126&gt;D126,F126&gt;E126,G126&gt;F126,D126&lt;&gt;INT(D126),E126&lt;&gt;INT(E126),F126&lt;&gt;INT(F126),G126&lt;&gt;INT(G126)),"Review record counts",IF(D126=0,"Set expected count or justify zero scope","Counts consistent"))))))</f>
      </c>
    </row>
    <row r="127" spans="1:12" ht="24" customHeight="1">
      <c r="A127" s="15" t="str">
        <f t="shared" si="9"/>
        <v/>
      </c>
      <c r="B127" s="13"/>
      <c r="C127" s="13"/>
      <c r="D127" s="20"/>
      <c r="E127" s="20"/>
      <c r="F127" s="20"/>
      <c r="G127" s="20"/>
      <c r="H127" s="13"/>
      <c r="I127" s="13"/>
      <c r="J127" s="17"/>
      <c r="K127" s="21" t="str">
        <f t="shared" si="10">IF(B127="","",IF(C127="N","N/A",IF(OR(C127&lt;&gt;"Y",COUNT(D127:G127)&lt;4),"",IF(OR(D127&lt;=0,E127&lt;0,F127&lt;0,G127&lt;0,E127&gt;D127,F127&gt;E127,G127&gt;F127,D127&lt;&gt;INT(D127),E127&lt;&gt;INT(E127),F127&lt;&gt;INT(F127),G127&lt;&gt;INT(G127)),"",G127/D127))))</f>
      </c>
      <c r="L127" s="15" t="str">
        <f t="shared" si="11">IF(B127="","",IF(C127="N",IF(H127="","Add approved N/A reference","N/A documented"),IF(C127&lt;&gt;"Y","Select Y / N",IF(COUNT(D127:G127)&lt;4,"Enter all four counts",IF(OR(D127&lt;0,E127&lt;0,F127&lt;0,G127&lt;0,E127&gt;D127,F127&gt;E127,G127&gt;F127,D127&lt;&gt;INT(D127),E127&lt;&gt;INT(E127),F127&lt;&gt;INT(F127),G127&lt;&gt;INT(G127)),"Review record counts",IF(D127=0,"Set expected count or justify zero scope","Counts consistent"))))))</f>
      </c>
    </row>
    <row r="128" spans="1:12" ht="24" customHeight="1">
      <c r="A128" s="15" t="str">
        <f t="shared" si="9"/>
        <v/>
      </c>
      <c r="B128" s="13"/>
      <c r="C128" s="13"/>
      <c r="D128" s="20"/>
      <c r="E128" s="20"/>
      <c r="F128" s="20"/>
      <c r="G128" s="20"/>
      <c r="H128" s="13"/>
      <c r="I128" s="13"/>
      <c r="J128" s="17"/>
      <c r="K128" s="21" t="str">
        <f t="shared" si="10">IF(B128="","",IF(C128="N","N/A",IF(OR(C128&lt;&gt;"Y",COUNT(D128:G128)&lt;4),"",IF(OR(D128&lt;=0,E128&lt;0,F128&lt;0,G128&lt;0,E128&gt;D128,F128&gt;E128,G128&gt;F128,D128&lt;&gt;INT(D128),E128&lt;&gt;INT(E128),F128&lt;&gt;INT(F128),G128&lt;&gt;INT(G128)),"",G128/D128))))</f>
      </c>
      <c r="L128" s="15" t="str">
        <f t="shared" si="11">IF(B128="","",IF(C128="N",IF(H128="","Add approved N/A reference","N/A documented"),IF(C128&lt;&gt;"Y","Select Y / N",IF(COUNT(D128:G128)&lt;4,"Enter all four counts",IF(OR(D128&lt;0,E128&lt;0,F128&lt;0,G128&lt;0,E128&gt;D128,F128&gt;E128,G128&gt;F128,D128&lt;&gt;INT(D128),E128&lt;&gt;INT(E128),F128&lt;&gt;INT(F128),G128&lt;&gt;INT(G128)),"Review record counts",IF(D128=0,"Set expected count or justify zero scope","Counts consistent"))))))</f>
      </c>
    </row>
    <row r="129" spans="1:12" ht="24" customHeight="1">
      <c r="A129" s="15" t="str">
        <f t="shared" si="9"/>
        <v/>
      </c>
      <c r="B129" s="13"/>
      <c r="C129" s="13"/>
      <c r="D129" s="20"/>
      <c r="E129" s="20"/>
      <c r="F129" s="20"/>
      <c r="G129" s="20"/>
      <c r="H129" s="13"/>
      <c r="I129" s="13"/>
      <c r="J129" s="17"/>
      <c r="K129" s="21" t="str">
        <f t="shared" si="10">IF(B129="","",IF(C129="N","N/A",IF(OR(C129&lt;&gt;"Y",COUNT(D129:G129)&lt;4),"",IF(OR(D129&lt;=0,E129&lt;0,F129&lt;0,G129&lt;0,E129&gt;D129,F129&gt;E129,G129&gt;F129,D129&lt;&gt;INT(D129),E129&lt;&gt;INT(E129),F129&lt;&gt;INT(F129),G129&lt;&gt;INT(G129)),"",G129/D129))))</f>
      </c>
      <c r="L129" s="15" t="str">
        <f t="shared" si="11">IF(B129="","",IF(C129="N",IF(H129="","Add approved N/A reference","N/A documented"),IF(C129&lt;&gt;"Y","Select Y / N",IF(COUNT(D129:G129)&lt;4,"Enter all four counts",IF(OR(D129&lt;0,E129&lt;0,F129&lt;0,G129&lt;0,E129&gt;D129,F129&gt;E129,G129&gt;F129,D129&lt;&gt;INT(D129),E129&lt;&gt;INT(E129),F129&lt;&gt;INT(F129),G129&lt;&gt;INT(G129)),"Review record counts",IF(D129=0,"Set expected count or justify zero scope","Counts consistent"))))))</f>
      </c>
    </row>
    <row r="130" spans="1:12" ht="24" customHeight="1">
      <c r="A130" s="15" t="str">
        <f t="shared" si="9"/>
        <v/>
      </c>
      <c r="B130" s="13"/>
      <c r="C130" s="13"/>
      <c r="D130" s="20"/>
      <c r="E130" s="20"/>
      <c r="F130" s="20"/>
      <c r="G130" s="20"/>
      <c r="H130" s="13"/>
      <c r="I130" s="13"/>
      <c r="J130" s="17"/>
      <c r="K130" s="21" t="str">
        <f t="shared" si="10">IF(B130="","",IF(C130="N","N/A",IF(OR(C130&lt;&gt;"Y",COUNT(D130:G130)&lt;4),"",IF(OR(D130&lt;=0,E130&lt;0,F130&lt;0,G130&lt;0,E130&gt;D130,F130&gt;E130,G130&gt;F130,D130&lt;&gt;INT(D130),E130&lt;&gt;INT(E130),F130&lt;&gt;INT(F130),G130&lt;&gt;INT(G130)),"",G130/D130))))</f>
      </c>
      <c r="L130" s="15" t="str">
        <f t="shared" si="11">IF(B130="","",IF(C130="N",IF(H130="","Add approved N/A reference","N/A documented"),IF(C130&lt;&gt;"Y","Select Y / N",IF(COUNT(D130:G130)&lt;4,"Enter all four counts",IF(OR(D130&lt;0,E130&lt;0,F130&lt;0,G130&lt;0,E130&gt;D130,F130&gt;E130,G130&gt;F130,D130&lt;&gt;INT(D130),E130&lt;&gt;INT(E130),F130&lt;&gt;INT(F130),G130&lt;&gt;INT(G130)),"Review record counts",IF(D130=0,"Set expected count or justify zero scope","Counts consistent"))))))</f>
      </c>
    </row>
    <row r="131" spans="1:12" ht="24" customHeight="1">
      <c r="A131" s="15" t="str">
        <f t="shared" si="9"/>
        <v/>
      </c>
      <c r="B131" s="13"/>
      <c r="C131" s="13"/>
      <c r="D131" s="20"/>
      <c r="E131" s="20"/>
      <c r="F131" s="20"/>
      <c r="G131" s="20"/>
      <c r="H131" s="13"/>
      <c r="I131" s="13"/>
      <c r="J131" s="17"/>
      <c r="K131" s="21" t="str">
        <f t="shared" si="10">IF(B131="","",IF(C131="N","N/A",IF(OR(C131&lt;&gt;"Y",COUNT(D131:G131)&lt;4),"",IF(OR(D131&lt;=0,E131&lt;0,F131&lt;0,G131&lt;0,E131&gt;D131,F131&gt;E131,G131&gt;F131,D131&lt;&gt;INT(D131),E131&lt;&gt;INT(E131),F131&lt;&gt;INT(F131),G131&lt;&gt;INT(G131)),"",G131/D131))))</f>
      </c>
      <c r="L131" s="15" t="str">
        <f t="shared" si="11">IF(B131="","",IF(C131="N",IF(H131="","Add approved N/A reference","N/A documented"),IF(C131&lt;&gt;"Y","Select Y / N",IF(COUNT(D131:G131)&lt;4,"Enter all four counts",IF(OR(D131&lt;0,E131&lt;0,F131&lt;0,G131&lt;0,E131&gt;D131,F131&gt;E131,G131&gt;F131,D131&lt;&gt;INT(D131),E131&lt;&gt;INT(E131),F131&lt;&gt;INT(F131),G131&lt;&gt;INT(G131)),"Review record counts",IF(D131=0,"Set expected count or justify zero scope","Counts consistent"))))))</f>
      </c>
    </row>
    <row r="132" spans="1:12" ht="24" customHeight="1">
      <c r="A132" s="15" t="str">
        <f t="shared" si="9"/>
        <v/>
      </c>
      <c r="B132" s="13"/>
      <c r="C132" s="13"/>
      <c r="D132" s="20"/>
      <c r="E132" s="20"/>
      <c r="F132" s="20"/>
      <c r="G132" s="20"/>
      <c r="H132" s="13"/>
      <c r="I132" s="13"/>
      <c r="J132" s="17"/>
      <c r="K132" s="21" t="str">
        <f t="shared" si="10">IF(B132="","",IF(C132="N","N/A",IF(OR(C132&lt;&gt;"Y",COUNT(D132:G132)&lt;4),"",IF(OR(D132&lt;=0,E132&lt;0,F132&lt;0,G132&lt;0,E132&gt;D132,F132&gt;E132,G132&gt;F132,D132&lt;&gt;INT(D132),E132&lt;&gt;INT(E132),F132&lt;&gt;INT(F132),G132&lt;&gt;INT(G132)),"",G132/D132))))</f>
      </c>
      <c r="L132" s="15" t="str">
        <f t="shared" si="11">IF(B132="","",IF(C132="N",IF(H132="","Add approved N/A reference","N/A documented"),IF(C132&lt;&gt;"Y","Select Y / N",IF(COUNT(D132:G132)&lt;4,"Enter all four counts",IF(OR(D132&lt;0,E132&lt;0,F132&lt;0,G132&lt;0,E132&gt;D132,F132&gt;E132,G132&gt;F132,D132&lt;&gt;INT(D132),E132&lt;&gt;INT(E132),F132&lt;&gt;INT(F132),G132&lt;&gt;INT(G132)),"Review record counts",IF(D132=0,"Set expected count or justify zero scope","Counts consistent"))))))</f>
      </c>
    </row>
    <row r="133" spans="1:12" ht="24" customHeight="1">
      <c r="A133" s="15" t="str">
        <f t="shared" si="9"/>
        <v/>
      </c>
      <c r="B133" s="13"/>
      <c r="C133" s="13"/>
      <c r="D133" s="20"/>
      <c r="E133" s="20"/>
      <c r="F133" s="20"/>
      <c r="G133" s="20"/>
      <c r="H133" s="13"/>
      <c r="I133" s="13"/>
      <c r="J133" s="17"/>
      <c r="K133" s="21" t="str">
        <f t="shared" si="10">IF(B133="","",IF(C133="N","N/A",IF(OR(C133&lt;&gt;"Y",COUNT(D133:G133)&lt;4),"",IF(OR(D133&lt;=0,E133&lt;0,F133&lt;0,G133&lt;0,E133&gt;D133,F133&gt;E133,G133&gt;F133,D133&lt;&gt;INT(D133),E133&lt;&gt;INT(E133),F133&lt;&gt;INT(F133),G133&lt;&gt;INT(G133)),"",G133/D133))))</f>
      </c>
      <c r="L133" s="15" t="str">
        <f t="shared" si="11">IF(B133="","",IF(C133="N",IF(H133="","Add approved N/A reference","N/A documented"),IF(C133&lt;&gt;"Y","Select Y / N",IF(COUNT(D133:G133)&lt;4,"Enter all four counts",IF(OR(D133&lt;0,E133&lt;0,F133&lt;0,G133&lt;0,E133&gt;D133,F133&gt;E133,G133&gt;F133,D133&lt;&gt;INT(D133),E133&lt;&gt;INT(E133),F133&lt;&gt;INT(F133),G133&lt;&gt;INT(G133)),"Review record counts",IF(D133=0,"Set expected count or justify zero scope","Counts consistent"))))))</f>
      </c>
    </row>
    <row r="134" spans="1:12" ht="24" customHeight="1">
      <c r="A134" s="15" t="str">
        <f t="shared" si="9"/>
        <v/>
      </c>
      <c r="B134" s="13"/>
      <c r="C134" s="13"/>
      <c r="D134" s="20"/>
      <c r="E134" s="20"/>
      <c r="F134" s="20"/>
      <c r="G134" s="20"/>
      <c r="H134" s="13"/>
      <c r="I134" s="13"/>
      <c r="J134" s="17"/>
      <c r="K134" s="21" t="str">
        <f t="shared" si="10">IF(B134="","",IF(C134="N","N/A",IF(OR(C134&lt;&gt;"Y",COUNT(D134:G134)&lt;4),"",IF(OR(D134&lt;=0,E134&lt;0,F134&lt;0,G134&lt;0,E134&gt;D134,F134&gt;E134,G134&gt;F134,D134&lt;&gt;INT(D134),E134&lt;&gt;INT(E134),F134&lt;&gt;INT(F134),G134&lt;&gt;INT(G134)),"",G134/D134))))</f>
      </c>
      <c r="L134" s="15" t="str">
        <f t="shared" si="11">IF(B134="","",IF(C134="N",IF(H134="","Add approved N/A reference","N/A documented"),IF(C134&lt;&gt;"Y","Select Y / N",IF(COUNT(D134:G134)&lt;4,"Enter all four counts",IF(OR(D134&lt;0,E134&lt;0,F134&lt;0,G134&lt;0,E134&gt;D134,F134&gt;E134,G134&gt;F134,D134&lt;&gt;INT(D134),E134&lt;&gt;INT(E134),F134&lt;&gt;INT(F134),G134&lt;&gt;INT(G134)),"Review record counts",IF(D134=0,"Set expected count or justify zero scope","Counts consistent"))))))</f>
      </c>
    </row>
    <row r="135" spans="1:12" ht="24" customHeight="1">
      <c r="A135" s="15" t="str">
        <f t="shared" si="9"/>
        <v/>
      </c>
      <c r="B135" s="13"/>
      <c r="C135" s="13"/>
      <c r="D135" s="20"/>
      <c r="E135" s="20"/>
      <c r="F135" s="20"/>
      <c r="G135" s="20"/>
      <c r="H135" s="13"/>
      <c r="I135" s="13"/>
      <c r="J135" s="17"/>
      <c r="K135" s="21" t="str">
        <f t="shared" si="10">IF(B135="","",IF(C135="N","N/A",IF(OR(C135&lt;&gt;"Y",COUNT(D135:G135)&lt;4),"",IF(OR(D135&lt;=0,E135&lt;0,F135&lt;0,G135&lt;0,E135&gt;D135,F135&gt;E135,G135&gt;F135,D135&lt;&gt;INT(D135),E135&lt;&gt;INT(E135),F135&lt;&gt;INT(F135),G135&lt;&gt;INT(G135)),"",G135/D135))))</f>
      </c>
      <c r="L135" s="15" t="str">
        <f t="shared" si="11">IF(B135="","",IF(C135="N",IF(H135="","Add approved N/A reference","N/A documented"),IF(C135&lt;&gt;"Y","Select Y / N",IF(COUNT(D135:G135)&lt;4,"Enter all four counts",IF(OR(D135&lt;0,E135&lt;0,F135&lt;0,G135&lt;0,E135&gt;D135,F135&gt;E135,G135&gt;F135,D135&lt;&gt;INT(D135),E135&lt;&gt;INT(E135),F135&lt;&gt;INT(F135),G135&lt;&gt;INT(G135)),"Review record counts",IF(D135=0,"Set expected count or justify zero scope","Counts consistent"))))))</f>
      </c>
    </row>
    <row r="136" spans="1:12" ht="24" customHeight="1">
      <c r="A136" s="15" t="str">
        <f t="shared" si="9"/>
        <v/>
      </c>
      <c r="B136" s="13"/>
      <c r="C136" s="13"/>
      <c r="D136" s="20"/>
      <c r="E136" s="20"/>
      <c r="F136" s="20"/>
      <c r="G136" s="20"/>
      <c r="H136" s="13"/>
      <c r="I136" s="13"/>
      <c r="J136" s="17"/>
      <c r="K136" s="21" t="str">
        <f t="shared" si="10">IF(B136="","",IF(C136="N","N/A",IF(OR(C136&lt;&gt;"Y",COUNT(D136:G136)&lt;4),"",IF(OR(D136&lt;=0,E136&lt;0,F136&lt;0,G136&lt;0,E136&gt;D136,F136&gt;E136,G136&gt;F136,D136&lt;&gt;INT(D136),E136&lt;&gt;INT(E136),F136&lt;&gt;INT(F136),G136&lt;&gt;INT(G136)),"",G136/D136))))</f>
      </c>
      <c r="L136" s="15" t="str">
        <f t="shared" si="11">IF(B136="","",IF(C136="N",IF(H136="","Add approved N/A reference","N/A documented"),IF(C136&lt;&gt;"Y","Select Y / N",IF(COUNT(D136:G136)&lt;4,"Enter all four counts",IF(OR(D136&lt;0,E136&lt;0,F136&lt;0,G136&lt;0,E136&gt;D136,F136&gt;E136,G136&gt;F136,D136&lt;&gt;INT(D136),E136&lt;&gt;INT(E136),F136&lt;&gt;INT(F136),G136&lt;&gt;INT(G136)),"Review record counts",IF(D136=0,"Set expected count or justify zero scope","Counts consistent"))))))</f>
      </c>
    </row>
    <row r="137" spans="1:12" ht="24" customHeight="1">
      <c r="A137" s="15" t="str">
        <f t="shared" si="9"/>
        <v/>
      </c>
      <c r="B137" s="13"/>
      <c r="C137" s="13"/>
      <c r="D137" s="20"/>
      <c r="E137" s="20"/>
      <c r="F137" s="20"/>
      <c r="G137" s="20"/>
      <c r="H137" s="13"/>
      <c r="I137" s="13"/>
      <c r="J137" s="17"/>
      <c r="K137" s="21" t="str">
        <f t="shared" si="10">IF(B137="","",IF(C137="N","N/A",IF(OR(C137&lt;&gt;"Y",COUNT(D137:G137)&lt;4),"",IF(OR(D137&lt;=0,E137&lt;0,F137&lt;0,G137&lt;0,E137&gt;D137,F137&gt;E137,G137&gt;F137,D137&lt;&gt;INT(D137),E137&lt;&gt;INT(E137),F137&lt;&gt;INT(F137),G137&lt;&gt;INT(G137)),"",G137/D137))))</f>
      </c>
      <c r="L137" s="15" t="str">
        <f t="shared" si="11">IF(B137="","",IF(C137="N",IF(H137="","Add approved N/A reference","N/A documented"),IF(C137&lt;&gt;"Y","Select Y / N",IF(COUNT(D137:G137)&lt;4,"Enter all four counts",IF(OR(D137&lt;0,E137&lt;0,F137&lt;0,G137&lt;0,E137&gt;D137,F137&gt;E137,G137&gt;F137,D137&lt;&gt;INT(D137),E137&lt;&gt;INT(E137),F137&lt;&gt;INT(F137),G137&lt;&gt;INT(G137)),"Review record counts",IF(D137=0,"Set expected count or justify zero scope","Counts consistent"))))))</f>
      </c>
    </row>
    <row r="138" spans="1:12" ht="24" customHeight="1">
      <c r="A138" s="15" t="str">
        <f t="shared" si="9"/>
        <v/>
      </c>
      <c r="B138" s="13"/>
      <c r="C138" s="13"/>
      <c r="D138" s="20"/>
      <c r="E138" s="20"/>
      <c r="F138" s="20"/>
      <c r="G138" s="20"/>
      <c r="H138" s="13"/>
      <c r="I138" s="13"/>
      <c r="J138" s="17"/>
      <c r="K138" s="21" t="str">
        <f t="shared" si="10">IF(B138="","",IF(C138="N","N/A",IF(OR(C138&lt;&gt;"Y",COUNT(D138:G138)&lt;4),"",IF(OR(D138&lt;=0,E138&lt;0,F138&lt;0,G138&lt;0,E138&gt;D138,F138&gt;E138,G138&gt;F138,D138&lt;&gt;INT(D138),E138&lt;&gt;INT(E138),F138&lt;&gt;INT(F138),G138&lt;&gt;INT(G138)),"",G138/D138))))</f>
      </c>
      <c r="L138" s="15" t="str">
        <f t="shared" si="11">IF(B138="","",IF(C138="N",IF(H138="","Add approved N/A reference","N/A documented"),IF(C138&lt;&gt;"Y","Select Y / N",IF(COUNT(D138:G138)&lt;4,"Enter all four counts",IF(OR(D138&lt;0,E138&lt;0,F138&lt;0,G138&lt;0,E138&gt;D138,F138&gt;E138,G138&gt;F138,D138&lt;&gt;INT(D138),E138&lt;&gt;INT(E138),F138&lt;&gt;INT(F138),G138&lt;&gt;INT(G138)),"Review record counts",IF(D138=0,"Set expected count or justify zero scope","Counts consistent"))))))</f>
      </c>
    </row>
    <row r="139" spans="1:12" ht="24" customHeight="1">
      <c r="A139" s="15" t="str">
        <f t="shared" si="9"/>
        <v/>
      </c>
      <c r="B139" s="13"/>
      <c r="C139" s="13"/>
      <c r="D139" s="20"/>
      <c r="E139" s="20"/>
      <c r="F139" s="20"/>
      <c r="G139" s="20"/>
      <c r="H139" s="13"/>
      <c r="I139" s="13"/>
      <c r="J139" s="17"/>
      <c r="K139" s="21" t="str">
        <f t="shared" si="10">IF(B139="","",IF(C139="N","N/A",IF(OR(C139&lt;&gt;"Y",COUNT(D139:G139)&lt;4),"",IF(OR(D139&lt;=0,E139&lt;0,F139&lt;0,G139&lt;0,E139&gt;D139,F139&gt;E139,G139&gt;F139,D139&lt;&gt;INT(D139),E139&lt;&gt;INT(E139),F139&lt;&gt;INT(F139),G139&lt;&gt;INT(G139)),"",G139/D139))))</f>
      </c>
      <c r="L139" s="15" t="str">
        <f t="shared" si="11">IF(B139="","",IF(C139="N",IF(H139="","Add approved N/A reference","N/A documented"),IF(C139&lt;&gt;"Y","Select Y / N",IF(COUNT(D139:G139)&lt;4,"Enter all four counts",IF(OR(D139&lt;0,E139&lt;0,F139&lt;0,G139&lt;0,E139&gt;D139,F139&gt;E139,G139&gt;F139,D139&lt;&gt;INT(D139),E139&lt;&gt;INT(E139),F139&lt;&gt;INT(F139),G139&lt;&gt;INT(G139)),"Review record counts",IF(D139=0,"Set expected count or justify zero scope","Counts consistent"))))))</f>
      </c>
    </row>
    <row r="140" spans="1:12" ht="24" customHeight="1">
      <c r="A140" s="15" t="str">
        <f t="shared" si="9"/>
        <v/>
      </c>
      <c r="B140" s="13"/>
      <c r="C140" s="13"/>
      <c r="D140" s="20"/>
      <c r="E140" s="20"/>
      <c r="F140" s="20"/>
      <c r="G140" s="20"/>
      <c r="H140" s="13"/>
      <c r="I140" s="13"/>
      <c r="J140" s="17"/>
      <c r="K140" s="21" t="str">
        <f t="shared" si="10">IF(B140="","",IF(C140="N","N/A",IF(OR(C140&lt;&gt;"Y",COUNT(D140:G140)&lt;4),"",IF(OR(D140&lt;=0,E140&lt;0,F140&lt;0,G140&lt;0,E140&gt;D140,F140&gt;E140,G140&gt;F140,D140&lt;&gt;INT(D140),E140&lt;&gt;INT(E140),F140&lt;&gt;INT(F140),G140&lt;&gt;INT(G140)),"",G140/D140))))</f>
      </c>
      <c r="L140" s="15" t="str">
        <f t="shared" si="11">IF(B140="","",IF(C140="N",IF(H140="","Add approved N/A reference","N/A documented"),IF(C140&lt;&gt;"Y","Select Y / N",IF(COUNT(D140:G140)&lt;4,"Enter all four counts",IF(OR(D140&lt;0,E140&lt;0,F140&lt;0,G140&lt;0,E140&gt;D140,F140&gt;E140,G140&gt;F140,D140&lt;&gt;INT(D140),E140&lt;&gt;INT(E140),F140&lt;&gt;INT(F140),G140&lt;&gt;INT(G140)),"Review record counts",IF(D140=0,"Set expected count or justify zero scope","Counts consistent"))))))</f>
      </c>
    </row>
    <row r="141" spans="1:12" ht="24" customHeight="1">
      <c r="A141" s="15" t="str">
        <f t="shared" ref="A141:A172" si="12">IF(B141="","",ROW()-12)</f>
        <v/>
      </c>
      <c r="B141" s="13"/>
      <c r="C141" s="13"/>
      <c r="D141" s="20"/>
      <c r="E141" s="20"/>
      <c r="F141" s="20"/>
      <c r="G141" s="20"/>
      <c r="H141" s="13"/>
      <c r="I141" s="13"/>
      <c r="J141" s="17"/>
      <c r="K141" s="21" t="str">
        <f t="shared" ref="K141:K172" si="13">IF(B141="","",IF(C141="N","N/A",IF(OR(C141&lt;&gt;"Y",COUNT(D141:G141)&lt;4),"",IF(OR(D141&lt;=0,E141&lt;0,F141&lt;0,G141&lt;0,E141&gt;D141,F141&gt;E141,G141&gt;F141,D141&lt;&gt;INT(D141),E141&lt;&gt;INT(E141),F141&lt;&gt;INT(F141),G141&lt;&gt;INT(G141)),"",G141/D141))))</f>
      </c>
      <c r="L141" s="15" t="str">
        <f t="shared" ref="L141:L172" si="14">IF(B141="","",IF(C141="N",IF(H141="","Add approved N/A reference","N/A documented"),IF(C141&lt;&gt;"Y","Select Y / N",IF(COUNT(D141:G141)&lt;4,"Enter all four counts",IF(OR(D141&lt;0,E141&lt;0,F141&lt;0,G141&lt;0,E141&gt;D141,F141&gt;E141,G141&gt;F141,D141&lt;&gt;INT(D141),E141&lt;&gt;INT(E141),F141&lt;&gt;INT(F141),G141&lt;&gt;INT(G141)),"Review record counts",IF(D141=0,"Set expected count or justify zero scope","Counts consistent"))))))</f>
      </c>
    </row>
    <row r="142" spans="1:12" ht="24" customHeight="1">
      <c r="A142" s="15" t="str">
        <f t="shared" si="12"/>
        <v/>
      </c>
      <c r="B142" s="13"/>
      <c r="C142" s="13"/>
      <c r="D142" s="20"/>
      <c r="E142" s="20"/>
      <c r="F142" s="20"/>
      <c r="G142" s="20"/>
      <c r="H142" s="13"/>
      <c r="I142" s="13"/>
      <c r="J142" s="17"/>
      <c r="K142" s="21" t="str">
        <f t="shared" si="13">IF(B142="","",IF(C142="N","N/A",IF(OR(C142&lt;&gt;"Y",COUNT(D142:G142)&lt;4),"",IF(OR(D142&lt;=0,E142&lt;0,F142&lt;0,G142&lt;0,E142&gt;D142,F142&gt;E142,G142&gt;F142,D142&lt;&gt;INT(D142),E142&lt;&gt;INT(E142),F142&lt;&gt;INT(F142),G142&lt;&gt;INT(G142)),"",G142/D142))))</f>
      </c>
      <c r="L142" s="15" t="str">
        <f t="shared" si="14">IF(B142="","",IF(C142="N",IF(H142="","Add approved N/A reference","N/A documented"),IF(C142&lt;&gt;"Y","Select Y / N",IF(COUNT(D142:G142)&lt;4,"Enter all four counts",IF(OR(D142&lt;0,E142&lt;0,F142&lt;0,G142&lt;0,E142&gt;D142,F142&gt;E142,G142&gt;F142,D142&lt;&gt;INT(D142),E142&lt;&gt;INT(E142),F142&lt;&gt;INT(F142),G142&lt;&gt;INT(G142)),"Review record counts",IF(D142=0,"Set expected count or justify zero scope","Counts consistent"))))))</f>
      </c>
    </row>
    <row r="143" spans="1:12" ht="24" customHeight="1">
      <c r="A143" s="15" t="str">
        <f t="shared" si="12"/>
        <v/>
      </c>
      <c r="B143" s="13"/>
      <c r="C143" s="13"/>
      <c r="D143" s="20"/>
      <c r="E143" s="20"/>
      <c r="F143" s="20"/>
      <c r="G143" s="20"/>
      <c r="H143" s="13"/>
      <c r="I143" s="13"/>
      <c r="J143" s="17"/>
      <c r="K143" s="21" t="str">
        <f t="shared" si="13">IF(B143="","",IF(C143="N","N/A",IF(OR(C143&lt;&gt;"Y",COUNT(D143:G143)&lt;4),"",IF(OR(D143&lt;=0,E143&lt;0,F143&lt;0,G143&lt;0,E143&gt;D143,F143&gt;E143,G143&gt;F143,D143&lt;&gt;INT(D143),E143&lt;&gt;INT(E143),F143&lt;&gt;INT(F143),G143&lt;&gt;INT(G143)),"",G143/D143))))</f>
      </c>
      <c r="L143" s="15" t="str">
        <f t="shared" si="14">IF(B143="","",IF(C143="N",IF(H143="","Add approved N/A reference","N/A documented"),IF(C143&lt;&gt;"Y","Select Y / N",IF(COUNT(D143:G143)&lt;4,"Enter all four counts",IF(OR(D143&lt;0,E143&lt;0,F143&lt;0,G143&lt;0,E143&gt;D143,F143&gt;E143,G143&gt;F143,D143&lt;&gt;INT(D143),E143&lt;&gt;INT(E143),F143&lt;&gt;INT(F143),G143&lt;&gt;INT(G143)),"Review record counts",IF(D143=0,"Set expected count or justify zero scope","Counts consistent"))))))</f>
      </c>
    </row>
    <row r="144" spans="1:12" ht="24" customHeight="1">
      <c r="A144" s="15" t="str">
        <f t="shared" si="12"/>
        <v/>
      </c>
      <c r="B144" s="13"/>
      <c r="C144" s="13"/>
      <c r="D144" s="20"/>
      <c r="E144" s="20"/>
      <c r="F144" s="20"/>
      <c r="G144" s="20"/>
      <c r="H144" s="13"/>
      <c r="I144" s="13"/>
      <c r="J144" s="17"/>
      <c r="K144" s="21" t="str">
        <f t="shared" si="13">IF(B144="","",IF(C144="N","N/A",IF(OR(C144&lt;&gt;"Y",COUNT(D144:G144)&lt;4),"",IF(OR(D144&lt;=0,E144&lt;0,F144&lt;0,G144&lt;0,E144&gt;D144,F144&gt;E144,G144&gt;F144,D144&lt;&gt;INT(D144),E144&lt;&gt;INT(E144),F144&lt;&gt;INT(F144),G144&lt;&gt;INT(G144)),"",G144/D144))))</f>
      </c>
      <c r="L144" s="15" t="str">
        <f t="shared" si="14">IF(B144="","",IF(C144="N",IF(H144="","Add approved N/A reference","N/A documented"),IF(C144&lt;&gt;"Y","Select Y / N",IF(COUNT(D144:G144)&lt;4,"Enter all four counts",IF(OR(D144&lt;0,E144&lt;0,F144&lt;0,G144&lt;0,E144&gt;D144,F144&gt;E144,G144&gt;F144,D144&lt;&gt;INT(D144),E144&lt;&gt;INT(E144),F144&lt;&gt;INT(F144),G144&lt;&gt;INT(G144)),"Review record counts",IF(D144=0,"Set expected count or justify zero scope","Counts consistent"))))))</f>
      </c>
    </row>
    <row r="145" spans="1:12" ht="24" customHeight="1">
      <c r="A145" s="15" t="str">
        <f t="shared" si="12"/>
        <v/>
      </c>
      <c r="B145" s="13"/>
      <c r="C145" s="13"/>
      <c r="D145" s="20"/>
      <c r="E145" s="20"/>
      <c r="F145" s="20"/>
      <c r="G145" s="20"/>
      <c r="H145" s="13"/>
      <c r="I145" s="13"/>
      <c r="J145" s="17"/>
      <c r="K145" s="21" t="str">
        <f t="shared" si="13">IF(B145="","",IF(C145="N","N/A",IF(OR(C145&lt;&gt;"Y",COUNT(D145:G145)&lt;4),"",IF(OR(D145&lt;=0,E145&lt;0,F145&lt;0,G145&lt;0,E145&gt;D145,F145&gt;E145,G145&gt;F145,D145&lt;&gt;INT(D145),E145&lt;&gt;INT(E145),F145&lt;&gt;INT(F145),G145&lt;&gt;INT(G145)),"",G145/D145))))</f>
      </c>
      <c r="L145" s="15" t="str">
        <f t="shared" si="14">IF(B145="","",IF(C145="N",IF(H145="","Add approved N/A reference","N/A documented"),IF(C145&lt;&gt;"Y","Select Y / N",IF(COUNT(D145:G145)&lt;4,"Enter all four counts",IF(OR(D145&lt;0,E145&lt;0,F145&lt;0,G145&lt;0,E145&gt;D145,F145&gt;E145,G145&gt;F145,D145&lt;&gt;INT(D145),E145&lt;&gt;INT(E145),F145&lt;&gt;INT(F145),G145&lt;&gt;INT(G145)),"Review record counts",IF(D145=0,"Set expected count or justify zero scope","Counts consistent"))))))</f>
      </c>
    </row>
    <row r="146" spans="1:12" ht="24" customHeight="1">
      <c r="A146" s="15" t="str">
        <f t="shared" si="12"/>
        <v/>
      </c>
      <c r="B146" s="13"/>
      <c r="C146" s="13"/>
      <c r="D146" s="20"/>
      <c r="E146" s="20"/>
      <c r="F146" s="20"/>
      <c r="G146" s="20"/>
      <c r="H146" s="13"/>
      <c r="I146" s="13"/>
      <c r="J146" s="17"/>
      <c r="K146" s="21" t="str">
        <f t="shared" si="13">IF(B146="","",IF(C146="N","N/A",IF(OR(C146&lt;&gt;"Y",COUNT(D146:G146)&lt;4),"",IF(OR(D146&lt;=0,E146&lt;0,F146&lt;0,G146&lt;0,E146&gt;D146,F146&gt;E146,G146&gt;F146,D146&lt;&gt;INT(D146),E146&lt;&gt;INT(E146),F146&lt;&gt;INT(F146),G146&lt;&gt;INT(G146)),"",G146/D146))))</f>
      </c>
      <c r="L146" s="15" t="str">
        <f t="shared" si="14">IF(B146="","",IF(C146="N",IF(H146="","Add approved N/A reference","N/A documented"),IF(C146&lt;&gt;"Y","Select Y / N",IF(COUNT(D146:G146)&lt;4,"Enter all four counts",IF(OR(D146&lt;0,E146&lt;0,F146&lt;0,G146&lt;0,E146&gt;D146,F146&gt;E146,G146&gt;F146,D146&lt;&gt;INT(D146),E146&lt;&gt;INT(E146),F146&lt;&gt;INT(F146),G146&lt;&gt;INT(G146)),"Review record counts",IF(D146=0,"Set expected count or justify zero scope","Counts consistent"))))))</f>
      </c>
    </row>
    <row r="147" spans="1:12" ht="24" customHeight="1">
      <c r="A147" s="15" t="str">
        <f t="shared" si="12"/>
        <v/>
      </c>
      <c r="B147" s="13"/>
      <c r="C147" s="13"/>
      <c r="D147" s="20"/>
      <c r="E147" s="20"/>
      <c r="F147" s="20"/>
      <c r="G147" s="20"/>
      <c r="H147" s="13"/>
      <c r="I147" s="13"/>
      <c r="J147" s="17"/>
      <c r="K147" s="21" t="str">
        <f t="shared" si="13">IF(B147="","",IF(C147="N","N/A",IF(OR(C147&lt;&gt;"Y",COUNT(D147:G147)&lt;4),"",IF(OR(D147&lt;=0,E147&lt;0,F147&lt;0,G147&lt;0,E147&gt;D147,F147&gt;E147,G147&gt;F147,D147&lt;&gt;INT(D147),E147&lt;&gt;INT(E147),F147&lt;&gt;INT(F147),G147&lt;&gt;INT(G147)),"",G147/D147))))</f>
      </c>
      <c r="L147" s="15" t="str">
        <f t="shared" si="14">IF(B147="","",IF(C147="N",IF(H147="","Add approved N/A reference","N/A documented"),IF(C147&lt;&gt;"Y","Select Y / N",IF(COUNT(D147:G147)&lt;4,"Enter all four counts",IF(OR(D147&lt;0,E147&lt;0,F147&lt;0,G147&lt;0,E147&gt;D147,F147&gt;E147,G147&gt;F147,D147&lt;&gt;INT(D147),E147&lt;&gt;INT(E147),F147&lt;&gt;INT(F147),G147&lt;&gt;INT(G147)),"Review record counts",IF(D147=0,"Set expected count or justify zero scope","Counts consistent"))))))</f>
      </c>
    </row>
    <row r="148" spans="1:12" ht="24" customHeight="1">
      <c r="A148" s="15" t="str">
        <f t="shared" si="12"/>
        <v/>
      </c>
      <c r="B148" s="13"/>
      <c r="C148" s="13"/>
      <c r="D148" s="20"/>
      <c r="E148" s="20"/>
      <c r="F148" s="20"/>
      <c r="G148" s="20"/>
      <c r="H148" s="13"/>
      <c r="I148" s="13"/>
      <c r="J148" s="17"/>
      <c r="K148" s="21" t="str">
        <f t="shared" si="13">IF(B148="","",IF(C148="N","N/A",IF(OR(C148&lt;&gt;"Y",COUNT(D148:G148)&lt;4),"",IF(OR(D148&lt;=0,E148&lt;0,F148&lt;0,G148&lt;0,E148&gt;D148,F148&gt;E148,G148&gt;F148,D148&lt;&gt;INT(D148),E148&lt;&gt;INT(E148),F148&lt;&gt;INT(F148),G148&lt;&gt;INT(G148)),"",G148/D148))))</f>
      </c>
      <c r="L148" s="15" t="str">
        <f t="shared" si="14">IF(B148="","",IF(C148="N",IF(H148="","Add approved N/A reference","N/A documented"),IF(C148&lt;&gt;"Y","Select Y / N",IF(COUNT(D148:G148)&lt;4,"Enter all four counts",IF(OR(D148&lt;0,E148&lt;0,F148&lt;0,G148&lt;0,E148&gt;D148,F148&gt;E148,G148&gt;F148,D148&lt;&gt;INT(D148),E148&lt;&gt;INT(E148),F148&lt;&gt;INT(F148),G148&lt;&gt;INT(G148)),"Review record counts",IF(D148=0,"Set expected count or justify zero scope","Counts consistent"))))))</f>
      </c>
    </row>
    <row r="149" spans="1:12" ht="24" customHeight="1">
      <c r="A149" s="15" t="str">
        <f t="shared" si="12"/>
        <v/>
      </c>
      <c r="B149" s="13"/>
      <c r="C149" s="13"/>
      <c r="D149" s="20"/>
      <c r="E149" s="20"/>
      <c r="F149" s="20"/>
      <c r="G149" s="20"/>
      <c r="H149" s="13"/>
      <c r="I149" s="13"/>
      <c r="J149" s="17"/>
      <c r="K149" s="21" t="str">
        <f t="shared" si="13">IF(B149="","",IF(C149="N","N/A",IF(OR(C149&lt;&gt;"Y",COUNT(D149:G149)&lt;4),"",IF(OR(D149&lt;=0,E149&lt;0,F149&lt;0,G149&lt;0,E149&gt;D149,F149&gt;E149,G149&gt;F149,D149&lt;&gt;INT(D149),E149&lt;&gt;INT(E149),F149&lt;&gt;INT(F149),G149&lt;&gt;INT(G149)),"",G149/D149))))</f>
      </c>
      <c r="L149" s="15" t="str">
        <f t="shared" si="14">IF(B149="","",IF(C149="N",IF(H149="","Add approved N/A reference","N/A documented"),IF(C149&lt;&gt;"Y","Select Y / N",IF(COUNT(D149:G149)&lt;4,"Enter all four counts",IF(OR(D149&lt;0,E149&lt;0,F149&lt;0,G149&lt;0,E149&gt;D149,F149&gt;E149,G149&gt;F149,D149&lt;&gt;INT(D149),E149&lt;&gt;INT(E149),F149&lt;&gt;INT(F149),G149&lt;&gt;INT(G149)),"Review record counts",IF(D149=0,"Set expected count or justify zero scope","Counts consistent"))))))</f>
      </c>
    </row>
    <row r="150" spans="1:12" ht="24" customHeight="1">
      <c r="A150" s="15" t="str">
        <f t="shared" si="12"/>
        <v/>
      </c>
      <c r="B150" s="13"/>
      <c r="C150" s="13"/>
      <c r="D150" s="20"/>
      <c r="E150" s="20"/>
      <c r="F150" s="20"/>
      <c r="G150" s="20"/>
      <c r="H150" s="13"/>
      <c r="I150" s="13"/>
      <c r="J150" s="17"/>
      <c r="K150" s="21" t="str">
        <f t="shared" si="13">IF(B150="","",IF(C150="N","N/A",IF(OR(C150&lt;&gt;"Y",COUNT(D150:G150)&lt;4),"",IF(OR(D150&lt;=0,E150&lt;0,F150&lt;0,G150&lt;0,E150&gt;D150,F150&gt;E150,G150&gt;F150,D150&lt;&gt;INT(D150),E150&lt;&gt;INT(E150),F150&lt;&gt;INT(F150),G150&lt;&gt;INT(G150)),"",G150/D150))))</f>
      </c>
      <c r="L150" s="15" t="str">
        <f t="shared" si="14">IF(B150="","",IF(C150="N",IF(H150="","Add approved N/A reference","N/A documented"),IF(C150&lt;&gt;"Y","Select Y / N",IF(COUNT(D150:G150)&lt;4,"Enter all four counts",IF(OR(D150&lt;0,E150&lt;0,F150&lt;0,G150&lt;0,E150&gt;D150,F150&gt;E150,G150&gt;F150,D150&lt;&gt;INT(D150),E150&lt;&gt;INT(E150),F150&lt;&gt;INT(F150),G150&lt;&gt;INT(G150)),"Review record counts",IF(D150=0,"Set expected count or justify zero scope","Counts consistent"))))))</f>
      </c>
    </row>
    <row r="151" spans="1:12" ht="24" customHeight="1">
      <c r="A151" s="15" t="str">
        <f t="shared" si="12"/>
        <v/>
      </c>
      <c r="B151" s="13"/>
      <c r="C151" s="13"/>
      <c r="D151" s="20"/>
      <c r="E151" s="20"/>
      <c r="F151" s="20"/>
      <c r="G151" s="20"/>
      <c r="H151" s="13"/>
      <c r="I151" s="13"/>
      <c r="J151" s="17"/>
      <c r="K151" s="21" t="str">
        <f t="shared" si="13">IF(B151="","",IF(C151="N","N/A",IF(OR(C151&lt;&gt;"Y",COUNT(D151:G151)&lt;4),"",IF(OR(D151&lt;=0,E151&lt;0,F151&lt;0,G151&lt;0,E151&gt;D151,F151&gt;E151,G151&gt;F151,D151&lt;&gt;INT(D151),E151&lt;&gt;INT(E151),F151&lt;&gt;INT(F151),G151&lt;&gt;INT(G151)),"",G151/D151))))</f>
      </c>
      <c r="L151" s="15" t="str">
        <f t="shared" si="14">IF(B151="","",IF(C151="N",IF(H151="","Add approved N/A reference","N/A documented"),IF(C151&lt;&gt;"Y","Select Y / N",IF(COUNT(D151:G151)&lt;4,"Enter all four counts",IF(OR(D151&lt;0,E151&lt;0,F151&lt;0,G151&lt;0,E151&gt;D151,F151&gt;E151,G151&gt;F151,D151&lt;&gt;INT(D151),E151&lt;&gt;INT(E151),F151&lt;&gt;INT(F151),G151&lt;&gt;INT(G151)),"Review record counts",IF(D151=0,"Set expected count or justify zero scope","Counts consistent"))))))</f>
      </c>
    </row>
    <row r="152" spans="1:12" ht="24" customHeight="1">
      <c r="A152" s="15" t="str">
        <f t="shared" si="12"/>
        <v/>
      </c>
      <c r="B152" s="13"/>
      <c r="C152" s="13"/>
      <c r="D152" s="20"/>
      <c r="E152" s="20"/>
      <c r="F152" s="20"/>
      <c r="G152" s="20"/>
      <c r="H152" s="13"/>
      <c r="I152" s="13"/>
      <c r="J152" s="17"/>
      <c r="K152" s="21" t="str">
        <f t="shared" si="13">IF(B152="","",IF(C152="N","N/A",IF(OR(C152&lt;&gt;"Y",COUNT(D152:G152)&lt;4),"",IF(OR(D152&lt;=0,E152&lt;0,F152&lt;0,G152&lt;0,E152&gt;D152,F152&gt;E152,G152&gt;F152,D152&lt;&gt;INT(D152),E152&lt;&gt;INT(E152),F152&lt;&gt;INT(F152),G152&lt;&gt;INT(G152)),"",G152/D152))))</f>
      </c>
      <c r="L152" s="15" t="str">
        <f t="shared" si="14">IF(B152="","",IF(C152="N",IF(H152="","Add approved N/A reference","N/A documented"),IF(C152&lt;&gt;"Y","Select Y / N",IF(COUNT(D152:G152)&lt;4,"Enter all four counts",IF(OR(D152&lt;0,E152&lt;0,F152&lt;0,G152&lt;0,E152&gt;D152,F152&gt;E152,G152&gt;F152,D152&lt;&gt;INT(D152),E152&lt;&gt;INT(E152),F152&lt;&gt;INT(F152),G152&lt;&gt;INT(G152)),"Review record counts",IF(D152=0,"Set expected count or justify zero scope","Counts consistent"))))))</f>
      </c>
    </row>
    <row r="153" spans="1:12" ht="24" customHeight="1">
      <c r="A153" s="15" t="str">
        <f t="shared" si="12"/>
        <v/>
      </c>
      <c r="B153" s="13"/>
      <c r="C153" s="13"/>
      <c r="D153" s="20"/>
      <c r="E153" s="20"/>
      <c r="F153" s="20"/>
      <c r="G153" s="20"/>
      <c r="H153" s="13"/>
      <c r="I153" s="13"/>
      <c r="J153" s="17"/>
      <c r="K153" s="21" t="str">
        <f t="shared" si="13">IF(B153="","",IF(C153="N","N/A",IF(OR(C153&lt;&gt;"Y",COUNT(D153:G153)&lt;4),"",IF(OR(D153&lt;=0,E153&lt;0,F153&lt;0,G153&lt;0,E153&gt;D153,F153&gt;E153,G153&gt;F153,D153&lt;&gt;INT(D153),E153&lt;&gt;INT(E153),F153&lt;&gt;INT(F153),G153&lt;&gt;INT(G153)),"",G153/D153))))</f>
      </c>
      <c r="L153" s="15" t="str">
        <f t="shared" si="14">IF(B153="","",IF(C153="N",IF(H153="","Add approved N/A reference","N/A documented"),IF(C153&lt;&gt;"Y","Select Y / N",IF(COUNT(D153:G153)&lt;4,"Enter all four counts",IF(OR(D153&lt;0,E153&lt;0,F153&lt;0,G153&lt;0,E153&gt;D153,F153&gt;E153,G153&gt;F153,D153&lt;&gt;INT(D153),E153&lt;&gt;INT(E153),F153&lt;&gt;INT(F153),G153&lt;&gt;INT(G153)),"Review record counts",IF(D153=0,"Set expected count or justify zero scope","Counts consistent"))))))</f>
      </c>
    </row>
    <row r="154" spans="1:12" ht="24" customHeight="1">
      <c r="A154" s="15" t="str">
        <f t="shared" si="12"/>
        <v/>
      </c>
      <c r="B154" s="13"/>
      <c r="C154" s="13"/>
      <c r="D154" s="20"/>
      <c r="E154" s="20"/>
      <c r="F154" s="20"/>
      <c r="G154" s="20"/>
      <c r="H154" s="13"/>
      <c r="I154" s="13"/>
      <c r="J154" s="17"/>
      <c r="K154" s="21" t="str">
        <f t="shared" si="13">IF(B154="","",IF(C154="N","N/A",IF(OR(C154&lt;&gt;"Y",COUNT(D154:G154)&lt;4),"",IF(OR(D154&lt;=0,E154&lt;0,F154&lt;0,G154&lt;0,E154&gt;D154,F154&gt;E154,G154&gt;F154,D154&lt;&gt;INT(D154),E154&lt;&gt;INT(E154),F154&lt;&gt;INT(F154),G154&lt;&gt;INT(G154)),"",G154/D154))))</f>
      </c>
      <c r="L154" s="15" t="str">
        <f t="shared" si="14">IF(B154="","",IF(C154="N",IF(H154="","Add approved N/A reference","N/A documented"),IF(C154&lt;&gt;"Y","Select Y / N",IF(COUNT(D154:G154)&lt;4,"Enter all four counts",IF(OR(D154&lt;0,E154&lt;0,F154&lt;0,G154&lt;0,E154&gt;D154,F154&gt;E154,G154&gt;F154,D154&lt;&gt;INT(D154),E154&lt;&gt;INT(E154),F154&lt;&gt;INT(F154),G154&lt;&gt;INT(G154)),"Review record counts",IF(D154=0,"Set expected count or justify zero scope","Counts consistent"))))))</f>
      </c>
    </row>
    <row r="155" spans="1:12" ht="24" customHeight="1">
      <c r="A155" s="15" t="str">
        <f t="shared" si="12"/>
        <v/>
      </c>
      <c r="B155" s="13"/>
      <c r="C155" s="13"/>
      <c r="D155" s="20"/>
      <c r="E155" s="20"/>
      <c r="F155" s="20"/>
      <c r="G155" s="20"/>
      <c r="H155" s="13"/>
      <c r="I155" s="13"/>
      <c r="J155" s="17"/>
      <c r="K155" s="21" t="str">
        <f t="shared" si="13">IF(B155="","",IF(C155="N","N/A",IF(OR(C155&lt;&gt;"Y",COUNT(D155:G155)&lt;4),"",IF(OR(D155&lt;=0,E155&lt;0,F155&lt;0,G155&lt;0,E155&gt;D155,F155&gt;E155,G155&gt;F155,D155&lt;&gt;INT(D155),E155&lt;&gt;INT(E155),F155&lt;&gt;INT(F155),G155&lt;&gt;INT(G155)),"",G155/D155))))</f>
      </c>
      <c r="L155" s="15" t="str">
        <f t="shared" si="14">IF(B155="","",IF(C155="N",IF(H155="","Add approved N/A reference","N/A documented"),IF(C155&lt;&gt;"Y","Select Y / N",IF(COUNT(D155:G155)&lt;4,"Enter all four counts",IF(OR(D155&lt;0,E155&lt;0,F155&lt;0,G155&lt;0,E155&gt;D155,F155&gt;E155,G155&gt;F155,D155&lt;&gt;INT(D155),E155&lt;&gt;INT(E155),F155&lt;&gt;INT(F155),G155&lt;&gt;INT(G155)),"Review record counts",IF(D155=0,"Set expected count or justify zero scope","Counts consistent"))))))</f>
      </c>
    </row>
    <row r="156" spans="1:12" ht="24" customHeight="1">
      <c r="A156" s="15" t="str">
        <f t="shared" si="12"/>
        <v/>
      </c>
      <c r="B156" s="13"/>
      <c r="C156" s="13"/>
      <c r="D156" s="20"/>
      <c r="E156" s="20"/>
      <c r="F156" s="20"/>
      <c r="G156" s="20"/>
      <c r="H156" s="13"/>
      <c r="I156" s="13"/>
      <c r="J156" s="17"/>
      <c r="K156" s="21" t="str">
        <f t="shared" si="13">IF(B156="","",IF(C156="N","N/A",IF(OR(C156&lt;&gt;"Y",COUNT(D156:G156)&lt;4),"",IF(OR(D156&lt;=0,E156&lt;0,F156&lt;0,G156&lt;0,E156&gt;D156,F156&gt;E156,G156&gt;F156,D156&lt;&gt;INT(D156),E156&lt;&gt;INT(E156),F156&lt;&gt;INT(F156),G156&lt;&gt;INT(G156)),"",G156/D156))))</f>
      </c>
      <c r="L156" s="15" t="str">
        <f t="shared" si="14">IF(B156="","",IF(C156="N",IF(H156="","Add approved N/A reference","N/A documented"),IF(C156&lt;&gt;"Y","Select Y / N",IF(COUNT(D156:G156)&lt;4,"Enter all four counts",IF(OR(D156&lt;0,E156&lt;0,F156&lt;0,G156&lt;0,E156&gt;D156,F156&gt;E156,G156&gt;F156,D156&lt;&gt;INT(D156),E156&lt;&gt;INT(E156),F156&lt;&gt;INT(F156),G156&lt;&gt;INT(G156)),"Review record counts",IF(D156=0,"Set expected count or justify zero scope","Counts consistent"))))))</f>
      </c>
    </row>
    <row r="157" spans="1:12" ht="24" customHeight="1">
      <c r="A157" s="15" t="str">
        <f t="shared" si="12"/>
        <v/>
      </c>
      <c r="B157" s="13"/>
      <c r="C157" s="13"/>
      <c r="D157" s="20"/>
      <c r="E157" s="20"/>
      <c r="F157" s="20"/>
      <c r="G157" s="20"/>
      <c r="H157" s="13"/>
      <c r="I157" s="13"/>
      <c r="J157" s="17"/>
      <c r="K157" s="21" t="str">
        <f t="shared" si="13">IF(B157="","",IF(C157="N","N/A",IF(OR(C157&lt;&gt;"Y",COUNT(D157:G157)&lt;4),"",IF(OR(D157&lt;=0,E157&lt;0,F157&lt;0,G157&lt;0,E157&gt;D157,F157&gt;E157,G157&gt;F157,D157&lt;&gt;INT(D157),E157&lt;&gt;INT(E157),F157&lt;&gt;INT(F157),G157&lt;&gt;INT(G157)),"",G157/D157))))</f>
      </c>
      <c r="L157" s="15" t="str">
        <f t="shared" si="14">IF(B157="","",IF(C157="N",IF(H157="","Add approved N/A reference","N/A documented"),IF(C157&lt;&gt;"Y","Select Y / N",IF(COUNT(D157:G157)&lt;4,"Enter all four counts",IF(OR(D157&lt;0,E157&lt;0,F157&lt;0,G157&lt;0,E157&gt;D157,F157&gt;E157,G157&gt;F157,D157&lt;&gt;INT(D157),E157&lt;&gt;INT(E157),F157&lt;&gt;INT(F157),G157&lt;&gt;INT(G157)),"Review record counts",IF(D157=0,"Set expected count or justify zero scope","Counts consistent"))))))</f>
      </c>
    </row>
    <row r="158" spans="1:12" ht="24" customHeight="1">
      <c r="A158" s="15" t="str">
        <f t="shared" si="12"/>
        <v/>
      </c>
      <c r="B158" s="13"/>
      <c r="C158" s="13"/>
      <c r="D158" s="20"/>
      <c r="E158" s="20"/>
      <c r="F158" s="20"/>
      <c r="G158" s="20"/>
      <c r="H158" s="13"/>
      <c r="I158" s="13"/>
      <c r="J158" s="17"/>
      <c r="K158" s="21" t="str">
        <f t="shared" si="13">IF(B158="","",IF(C158="N","N/A",IF(OR(C158&lt;&gt;"Y",COUNT(D158:G158)&lt;4),"",IF(OR(D158&lt;=0,E158&lt;0,F158&lt;0,G158&lt;0,E158&gt;D158,F158&gt;E158,G158&gt;F158,D158&lt;&gt;INT(D158),E158&lt;&gt;INT(E158),F158&lt;&gt;INT(F158),G158&lt;&gt;INT(G158)),"",G158/D158))))</f>
      </c>
      <c r="L158" s="15" t="str">
        <f t="shared" si="14">IF(B158="","",IF(C158="N",IF(H158="","Add approved N/A reference","N/A documented"),IF(C158&lt;&gt;"Y","Select Y / N",IF(COUNT(D158:G158)&lt;4,"Enter all four counts",IF(OR(D158&lt;0,E158&lt;0,F158&lt;0,G158&lt;0,E158&gt;D158,F158&gt;E158,G158&gt;F158,D158&lt;&gt;INT(D158),E158&lt;&gt;INT(E158),F158&lt;&gt;INT(F158),G158&lt;&gt;INT(G158)),"Review record counts",IF(D158=0,"Set expected count or justify zero scope","Counts consistent"))))))</f>
      </c>
    </row>
    <row r="159" spans="1:12" ht="24" customHeight="1">
      <c r="A159" s="15" t="str">
        <f t="shared" si="12"/>
        <v/>
      </c>
      <c r="B159" s="13"/>
      <c r="C159" s="13"/>
      <c r="D159" s="20"/>
      <c r="E159" s="20"/>
      <c r="F159" s="20"/>
      <c r="G159" s="20"/>
      <c r="H159" s="13"/>
      <c r="I159" s="13"/>
      <c r="J159" s="17"/>
      <c r="K159" s="21" t="str">
        <f t="shared" si="13">IF(B159="","",IF(C159="N","N/A",IF(OR(C159&lt;&gt;"Y",COUNT(D159:G159)&lt;4),"",IF(OR(D159&lt;=0,E159&lt;0,F159&lt;0,G159&lt;0,E159&gt;D159,F159&gt;E159,G159&gt;F159,D159&lt;&gt;INT(D159),E159&lt;&gt;INT(E159),F159&lt;&gt;INT(F159),G159&lt;&gt;INT(G159)),"",G159/D159))))</f>
      </c>
      <c r="L159" s="15" t="str">
        <f t="shared" si="14">IF(B159="","",IF(C159="N",IF(H159="","Add approved N/A reference","N/A documented"),IF(C159&lt;&gt;"Y","Select Y / N",IF(COUNT(D159:G159)&lt;4,"Enter all four counts",IF(OR(D159&lt;0,E159&lt;0,F159&lt;0,G159&lt;0,E159&gt;D159,F159&gt;E159,G159&gt;F159,D159&lt;&gt;INT(D159),E159&lt;&gt;INT(E159),F159&lt;&gt;INT(F159),G159&lt;&gt;INT(G159)),"Review record counts",IF(D159=0,"Set expected count or justify zero scope","Counts consistent"))))))</f>
      </c>
    </row>
    <row r="160" spans="1:12" ht="24" customHeight="1">
      <c r="A160" s="15" t="str">
        <f t="shared" si="12"/>
        <v/>
      </c>
      <c r="B160" s="13"/>
      <c r="C160" s="13"/>
      <c r="D160" s="20"/>
      <c r="E160" s="20"/>
      <c r="F160" s="20"/>
      <c r="G160" s="20"/>
      <c r="H160" s="13"/>
      <c r="I160" s="13"/>
      <c r="J160" s="17"/>
      <c r="K160" s="21" t="str">
        <f t="shared" si="13">IF(B160="","",IF(C160="N","N/A",IF(OR(C160&lt;&gt;"Y",COUNT(D160:G160)&lt;4),"",IF(OR(D160&lt;=0,E160&lt;0,F160&lt;0,G160&lt;0,E160&gt;D160,F160&gt;E160,G160&gt;F160,D160&lt;&gt;INT(D160),E160&lt;&gt;INT(E160),F160&lt;&gt;INT(F160),G160&lt;&gt;INT(G160)),"",G160/D160))))</f>
      </c>
      <c r="L160" s="15" t="str">
        <f t="shared" si="14">IF(B160="","",IF(C160="N",IF(H160="","Add approved N/A reference","N/A documented"),IF(C160&lt;&gt;"Y","Select Y / N",IF(COUNT(D160:G160)&lt;4,"Enter all four counts",IF(OR(D160&lt;0,E160&lt;0,F160&lt;0,G160&lt;0,E160&gt;D160,F160&gt;E160,G160&gt;F160,D160&lt;&gt;INT(D160),E160&lt;&gt;INT(E160),F160&lt;&gt;INT(F160),G160&lt;&gt;INT(G160)),"Review record counts",IF(D160=0,"Set expected count or justify zero scope","Counts consistent"))))))</f>
      </c>
    </row>
    <row r="161" spans="1:12" ht="24" customHeight="1">
      <c r="A161" s="15" t="str">
        <f t="shared" si="12"/>
        <v/>
      </c>
      <c r="B161" s="13"/>
      <c r="C161" s="13"/>
      <c r="D161" s="20"/>
      <c r="E161" s="20"/>
      <c r="F161" s="20"/>
      <c r="G161" s="20"/>
      <c r="H161" s="13"/>
      <c r="I161" s="13"/>
      <c r="J161" s="17"/>
      <c r="K161" s="21" t="str">
        <f t="shared" si="13">IF(B161="","",IF(C161="N","N/A",IF(OR(C161&lt;&gt;"Y",COUNT(D161:G161)&lt;4),"",IF(OR(D161&lt;=0,E161&lt;0,F161&lt;0,G161&lt;0,E161&gt;D161,F161&gt;E161,G161&gt;F161,D161&lt;&gt;INT(D161),E161&lt;&gt;INT(E161),F161&lt;&gt;INT(F161),G161&lt;&gt;INT(G161)),"",G161/D161))))</f>
      </c>
      <c r="L161" s="15" t="str">
        <f t="shared" si="14">IF(B161="","",IF(C161="N",IF(H161="","Add approved N/A reference","N/A documented"),IF(C161&lt;&gt;"Y","Select Y / N",IF(COUNT(D161:G161)&lt;4,"Enter all four counts",IF(OR(D161&lt;0,E161&lt;0,F161&lt;0,G161&lt;0,E161&gt;D161,F161&gt;E161,G161&gt;F161,D161&lt;&gt;INT(D161),E161&lt;&gt;INT(E161),F161&lt;&gt;INT(F161),G161&lt;&gt;INT(G161)),"Review record counts",IF(D161=0,"Set expected count or justify zero scope","Counts consistent"))))))</f>
      </c>
    </row>
    <row r="162" spans="1:12" ht="24" customHeight="1">
      <c r="A162" s="15" t="str">
        <f t="shared" si="12"/>
        <v/>
      </c>
      <c r="B162" s="13"/>
      <c r="C162" s="13"/>
      <c r="D162" s="20"/>
      <c r="E162" s="20"/>
      <c r="F162" s="20"/>
      <c r="G162" s="20"/>
      <c r="H162" s="13"/>
      <c r="I162" s="13"/>
      <c r="J162" s="17"/>
      <c r="K162" s="21" t="str">
        <f t="shared" si="13">IF(B162="","",IF(C162="N","N/A",IF(OR(C162&lt;&gt;"Y",COUNT(D162:G162)&lt;4),"",IF(OR(D162&lt;=0,E162&lt;0,F162&lt;0,G162&lt;0,E162&gt;D162,F162&gt;E162,G162&gt;F162,D162&lt;&gt;INT(D162),E162&lt;&gt;INT(E162),F162&lt;&gt;INT(F162),G162&lt;&gt;INT(G162)),"",G162/D162))))</f>
      </c>
      <c r="L162" s="15" t="str">
        <f t="shared" si="14">IF(B162="","",IF(C162="N",IF(H162="","Add approved N/A reference","N/A documented"),IF(C162&lt;&gt;"Y","Select Y / N",IF(COUNT(D162:G162)&lt;4,"Enter all four counts",IF(OR(D162&lt;0,E162&lt;0,F162&lt;0,G162&lt;0,E162&gt;D162,F162&gt;E162,G162&gt;F162,D162&lt;&gt;INT(D162),E162&lt;&gt;INT(E162),F162&lt;&gt;INT(F162),G162&lt;&gt;INT(G162)),"Review record counts",IF(D162=0,"Set expected count or justify zero scope","Counts consistent"))))))</f>
      </c>
    </row>
    <row r="163" spans="1:12" ht="24" customHeight="1">
      <c r="A163" s="15" t="str">
        <f t="shared" si="12"/>
        <v/>
      </c>
      <c r="B163" s="13"/>
      <c r="C163" s="13"/>
      <c r="D163" s="20"/>
      <c r="E163" s="20"/>
      <c r="F163" s="20"/>
      <c r="G163" s="20"/>
      <c r="H163" s="13"/>
      <c r="I163" s="13"/>
      <c r="J163" s="17"/>
      <c r="K163" s="21" t="str">
        <f t="shared" si="13">IF(B163="","",IF(C163="N","N/A",IF(OR(C163&lt;&gt;"Y",COUNT(D163:G163)&lt;4),"",IF(OR(D163&lt;=0,E163&lt;0,F163&lt;0,G163&lt;0,E163&gt;D163,F163&gt;E163,G163&gt;F163,D163&lt;&gt;INT(D163),E163&lt;&gt;INT(E163),F163&lt;&gt;INT(F163),G163&lt;&gt;INT(G163)),"",G163/D163))))</f>
      </c>
      <c r="L163" s="15" t="str">
        <f t="shared" si="14">IF(B163="","",IF(C163="N",IF(H163="","Add approved N/A reference","N/A documented"),IF(C163&lt;&gt;"Y","Select Y / N",IF(COUNT(D163:G163)&lt;4,"Enter all four counts",IF(OR(D163&lt;0,E163&lt;0,F163&lt;0,G163&lt;0,E163&gt;D163,F163&gt;E163,G163&gt;F163,D163&lt;&gt;INT(D163),E163&lt;&gt;INT(E163),F163&lt;&gt;INT(F163),G163&lt;&gt;INT(G163)),"Review record counts",IF(D163=0,"Set expected count or justify zero scope","Counts consistent"))))))</f>
      </c>
    </row>
    <row r="164" spans="1:12" ht="24" customHeight="1">
      <c r="A164" s="15" t="str">
        <f t="shared" si="12"/>
        <v/>
      </c>
      <c r="B164" s="13"/>
      <c r="C164" s="13"/>
      <c r="D164" s="20"/>
      <c r="E164" s="20"/>
      <c r="F164" s="20"/>
      <c r="G164" s="20"/>
      <c r="H164" s="13"/>
      <c r="I164" s="13"/>
      <c r="J164" s="17"/>
      <c r="K164" s="21" t="str">
        <f t="shared" si="13">IF(B164="","",IF(C164="N","N/A",IF(OR(C164&lt;&gt;"Y",COUNT(D164:G164)&lt;4),"",IF(OR(D164&lt;=0,E164&lt;0,F164&lt;0,G164&lt;0,E164&gt;D164,F164&gt;E164,G164&gt;F164,D164&lt;&gt;INT(D164),E164&lt;&gt;INT(E164),F164&lt;&gt;INT(F164),G164&lt;&gt;INT(G164)),"",G164/D164))))</f>
      </c>
      <c r="L164" s="15" t="str">
        <f t="shared" si="14">IF(B164="","",IF(C164="N",IF(H164="","Add approved N/A reference","N/A documented"),IF(C164&lt;&gt;"Y","Select Y / N",IF(COUNT(D164:G164)&lt;4,"Enter all four counts",IF(OR(D164&lt;0,E164&lt;0,F164&lt;0,G164&lt;0,E164&gt;D164,F164&gt;E164,G164&gt;F164,D164&lt;&gt;INT(D164),E164&lt;&gt;INT(E164),F164&lt;&gt;INT(F164),G164&lt;&gt;INT(G164)),"Review record counts",IF(D164=0,"Set expected count or justify zero scope","Counts consistent"))))))</f>
      </c>
    </row>
    <row r="165" spans="1:12" ht="24" customHeight="1">
      <c r="A165" s="15" t="str">
        <f t="shared" si="12"/>
        <v/>
      </c>
      <c r="B165" s="13"/>
      <c r="C165" s="13"/>
      <c r="D165" s="20"/>
      <c r="E165" s="20"/>
      <c r="F165" s="20"/>
      <c r="G165" s="20"/>
      <c r="H165" s="13"/>
      <c r="I165" s="13"/>
      <c r="J165" s="17"/>
      <c r="K165" s="21" t="str">
        <f t="shared" si="13">IF(B165="","",IF(C165="N","N/A",IF(OR(C165&lt;&gt;"Y",COUNT(D165:G165)&lt;4),"",IF(OR(D165&lt;=0,E165&lt;0,F165&lt;0,G165&lt;0,E165&gt;D165,F165&gt;E165,G165&gt;F165,D165&lt;&gt;INT(D165),E165&lt;&gt;INT(E165),F165&lt;&gt;INT(F165),G165&lt;&gt;INT(G165)),"",G165/D165))))</f>
      </c>
      <c r="L165" s="15" t="str">
        <f t="shared" si="14">IF(B165="","",IF(C165="N",IF(H165="","Add approved N/A reference","N/A documented"),IF(C165&lt;&gt;"Y","Select Y / N",IF(COUNT(D165:G165)&lt;4,"Enter all four counts",IF(OR(D165&lt;0,E165&lt;0,F165&lt;0,G165&lt;0,E165&gt;D165,F165&gt;E165,G165&gt;F165,D165&lt;&gt;INT(D165),E165&lt;&gt;INT(E165),F165&lt;&gt;INT(F165),G165&lt;&gt;INT(G165)),"Review record counts",IF(D165=0,"Set expected count or justify zero scope","Counts consistent"))))))</f>
      </c>
    </row>
    <row r="166" spans="1:12" ht="24" customHeight="1">
      <c r="A166" s="15" t="str">
        <f t="shared" si="12"/>
        <v/>
      </c>
      <c r="B166" s="13"/>
      <c r="C166" s="13"/>
      <c r="D166" s="20"/>
      <c r="E166" s="20"/>
      <c r="F166" s="20"/>
      <c r="G166" s="20"/>
      <c r="H166" s="13"/>
      <c r="I166" s="13"/>
      <c r="J166" s="17"/>
      <c r="K166" s="21" t="str">
        <f t="shared" si="13">IF(B166="","",IF(C166="N","N/A",IF(OR(C166&lt;&gt;"Y",COUNT(D166:G166)&lt;4),"",IF(OR(D166&lt;=0,E166&lt;0,F166&lt;0,G166&lt;0,E166&gt;D166,F166&gt;E166,G166&gt;F166,D166&lt;&gt;INT(D166),E166&lt;&gt;INT(E166),F166&lt;&gt;INT(F166),G166&lt;&gt;INT(G166)),"",G166/D166))))</f>
      </c>
      <c r="L166" s="15" t="str">
        <f t="shared" si="14">IF(B166="","",IF(C166="N",IF(H166="","Add approved N/A reference","N/A documented"),IF(C166&lt;&gt;"Y","Select Y / N",IF(COUNT(D166:G166)&lt;4,"Enter all four counts",IF(OR(D166&lt;0,E166&lt;0,F166&lt;0,G166&lt;0,E166&gt;D166,F166&gt;E166,G166&gt;F166,D166&lt;&gt;INT(D166),E166&lt;&gt;INT(E166),F166&lt;&gt;INT(F166),G166&lt;&gt;INT(G166)),"Review record counts",IF(D166=0,"Set expected count or justify zero scope","Counts consistent"))))))</f>
      </c>
    </row>
    <row r="167" spans="1:12" ht="24" customHeight="1">
      <c r="A167" s="15" t="str">
        <f t="shared" si="12"/>
        <v/>
      </c>
      <c r="B167" s="13"/>
      <c r="C167" s="13"/>
      <c r="D167" s="20"/>
      <c r="E167" s="20"/>
      <c r="F167" s="20"/>
      <c r="G167" s="20"/>
      <c r="H167" s="13"/>
      <c r="I167" s="13"/>
      <c r="J167" s="17"/>
      <c r="K167" s="21" t="str">
        <f t="shared" si="13">IF(B167="","",IF(C167="N","N/A",IF(OR(C167&lt;&gt;"Y",COUNT(D167:G167)&lt;4),"",IF(OR(D167&lt;=0,E167&lt;0,F167&lt;0,G167&lt;0,E167&gt;D167,F167&gt;E167,G167&gt;F167,D167&lt;&gt;INT(D167),E167&lt;&gt;INT(E167),F167&lt;&gt;INT(F167),G167&lt;&gt;INT(G167)),"",G167/D167))))</f>
      </c>
      <c r="L167" s="15" t="str">
        <f t="shared" si="14">IF(B167="","",IF(C167="N",IF(H167="","Add approved N/A reference","N/A documented"),IF(C167&lt;&gt;"Y","Select Y / N",IF(COUNT(D167:G167)&lt;4,"Enter all four counts",IF(OR(D167&lt;0,E167&lt;0,F167&lt;0,G167&lt;0,E167&gt;D167,F167&gt;E167,G167&gt;F167,D167&lt;&gt;INT(D167),E167&lt;&gt;INT(E167),F167&lt;&gt;INT(F167),G167&lt;&gt;INT(G167)),"Review record counts",IF(D167=0,"Set expected count or justify zero scope","Counts consistent"))))))</f>
      </c>
    </row>
    <row r="168" spans="1:12" ht="24" customHeight="1">
      <c r="A168" s="15" t="str">
        <f t="shared" si="12"/>
        <v/>
      </c>
      <c r="B168" s="13"/>
      <c r="C168" s="13"/>
      <c r="D168" s="20"/>
      <c r="E168" s="20"/>
      <c r="F168" s="20"/>
      <c r="G168" s="20"/>
      <c r="H168" s="13"/>
      <c r="I168" s="13"/>
      <c r="J168" s="17"/>
      <c r="K168" s="21" t="str">
        <f t="shared" si="13">IF(B168="","",IF(C168="N","N/A",IF(OR(C168&lt;&gt;"Y",COUNT(D168:G168)&lt;4),"",IF(OR(D168&lt;=0,E168&lt;0,F168&lt;0,G168&lt;0,E168&gt;D168,F168&gt;E168,G168&gt;F168,D168&lt;&gt;INT(D168),E168&lt;&gt;INT(E168),F168&lt;&gt;INT(F168),G168&lt;&gt;INT(G168)),"",G168/D168))))</f>
      </c>
      <c r="L168" s="15" t="str">
        <f t="shared" si="14">IF(B168="","",IF(C168="N",IF(H168="","Add approved N/A reference","N/A documented"),IF(C168&lt;&gt;"Y","Select Y / N",IF(COUNT(D168:G168)&lt;4,"Enter all four counts",IF(OR(D168&lt;0,E168&lt;0,F168&lt;0,G168&lt;0,E168&gt;D168,F168&gt;E168,G168&gt;F168,D168&lt;&gt;INT(D168),E168&lt;&gt;INT(E168),F168&lt;&gt;INT(F168),G168&lt;&gt;INT(G168)),"Review record counts",IF(D168=0,"Set expected count or justify zero scope","Counts consistent"))))))</f>
      </c>
    </row>
    <row r="169" spans="1:12" ht="24" customHeight="1">
      <c r="A169" s="15" t="str">
        <f t="shared" si="12"/>
        <v/>
      </c>
      <c r="B169" s="13"/>
      <c r="C169" s="13"/>
      <c r="D169" s="20"/>
      <c r="E169" s="20"/>
      <c r="F169" s="20"/>
      <c r="G169" s="20"/>
      <c r="H169" s="13"/>
      <c r="I169" s="13"/>
      <c r="J169" s="17"/>
      <c r="K169" s="21" t="str">
        <f t="shared" si="13">IF(B169="","",IF(C169="N","N/A",IF(OR(C169&lt;&gt;"Y",COUNT(D169:G169)&lt;4),"",IF(OR(D169&lt;=0,E169&lt;0,F169&lt;0,G169&lt;0,E169&gt;D169,F169&gt;E169,G169&gt;F169,D169&lt;&gt;INT(D169),E169&lt;&gt;INT(E169),F169&lt;&gt;INT(F169),G169&lt;&gt;INT(G169)),"",G169/D169))))</f>
      </c>
      <c r="L169" s="15" t="str">
        <f t="shared" si="14">IF(B169="","",IF(C169="N",IF(H169="","Add approved N/A reference","N/A documented"),IF(C169&lt;&gt;"Y","Select Y / N",IF(COUNT(D169:G169)&lt;4,"Enter all four counts",IF(OR(D169&lt;0,E169&lt;0,F169&lt;0,G169&lt;0,E169&gt;D169,F169&gt;E169,G169&gt;F169,D169&lt;&gt;INT(D169),E169&lt;&gt;INT(E169),F169&lt;&gt;INT(F169),G169&lt;&gt;INT(G169)),"Review record counts",IF(D169=0,"Set expected count or justify zero scope","Counts consistent"))))))</f>
      </c>
    </row>
    <row r="170" spans="1:12" ht="24" customHeight="1">
      <c r="A170" s="15" t="str">
        <f t="shared" si="12"/>
        <v/>
      </c>
      <c r="B170" s="13"/>
      <c r="C170" s="13"/>
      <c r="D170" s="20"/>
      <c r="E170" s="20"/>
      <c r="F170" s="20"/>
      <c r="G170" s="20"/>
      <c r="H170" s="13"/>
      <c r="I170" s="13"/>
      <c r="J170" s="17"/>
      <c r="K170" s="21" t="str">
        <f t="shared" si="13">IF(B170="","",IF(C170="N","N/A",IF(OR(C170&lt;&gt;"Y",COUNT(D170:G170)&lt;4),"",IF(OR(D170&lt;=0,E170&lt;0,F170&lt;0,G170&lt;0,E170&gt;D170,F170&gt;E170,G170&gt;F170,D170&lt;&gt;INT(D170),E170&lt;&gt;INT(E170),F170&lt;&gt;INT(F170),G170&lt;&gt;INT(G170)),"",G170/D170))))</f>
      </c>
      <c r="L170" s="15" t="str">
        <f t="shared" si="14">IF(B170="","",IF(C170="N",IF(H170="","Add approved N/A reference","N/A documented"),IF(C170&lt;&gt;"Y","Select Y / N",IF(COUNT(D170:G170)&lt;4,"Enter all four counts",IF(OR(D170&lt;0,E170&lt;0,F170&lt;0,G170&lt;0,E170&gt;D170,F170&gt;E170,G170&gt;F170,D170&lt;&gt;INT(D170),E170&lt;&gt;INT(E170),F170&lt;&gt;INT(F170),G170&lt;&gt;INT(G170)),"Review record counts",IF(D170=0,"Set expected count or justify zero scope","Counts consistent"))))))</f>
      </c>
    </row>
    <row r="171" spans="1:12" ht="24" customHeight="1">
      <c r="A171" s="15" t="str">
        <f t="shared" si="12"/>
        <v/>
      </c>
      <c r="B171" s="13"/>
      <c r="C171" s="13"/>
      <c r="D171" s="20"/>
      <c r="E171" s="20"/>
      <c r="F171" s="20"/>
      <c r="G171" s="20"/>
      <c r="H171" s="13"/>
      <c r="I171" s="13"/>
      <c r="J171" s="17"/>
      <c r="K171" s="21" t="str">
        <f t="shared" si="13">IF(B171="","",IF(C171="N","N/A",IF(OR(C171&lt;&gt;"Y",COUNT(D171:G171)&lt;4),"",IF(OR(D171&lt;=0,E171&lt;0,F171&lt;0,G171&lt;0,E171&gt;D171,F171&gt;E171,G171&gt;F171,D171&lt;&gt;INT(D171),E171&lt;&gt;INT(E171),F171&lt;&gt;INT(F171),G171&lt;&gt;INT(G171)),"",G171/D171))))</f>
      </c>
      <c r="L171" s="15" t="str">
        <f t="shared" si="14">IF(B171="","",IF(C171="N",IF(H171="","Add approved N/A reference","N/A documented"),IF(C171&lt;&gt;"Y","Select Y / N",IF(COUNT(D171:G171)&lt;4,"Enter all four counts",IF(OR(D171&lt;0,E171&lt;0,F171&lt;0,G171&lt;0,E171&gt;D171,F171&gt;E171,G171&gt;F171,D171&lt;&gt;INT(D171),E171&lt;&gt;INT(E171),F171&lt;&gt;INT(F171),G171&lt;&gt;INT(G171)),"Review record counts",IF(D171=0,"Set expected count or justify zero scope","Counts consistent"))))))</f>
      </c>
    </row>
    <row r="172" spans="1:12" ht="24" customHeight="1">
      <c r="A172" s="15" t="str">
        <f t="shared" si="12"/>
        <v/>
      </c>
      <c r="B172" s="13"/>
      <c r="C172" s="13"/>
      <c r="D172" s="20"/>
      <c r="E172" s="20"/>
      <c r="F172" s="20"/>
      <c r="G172" s="20"/>
      <c r="H172" s="13"/>
      <c r="I172" s="13"/>
      <c r="J172" s="17"/>
      <c r="K172" s="21" t="str">
        <f t="shared" si="13">IF(B172="","",IF(C172="N","N/A",IF(OR(C172&lt;&gt;"Y",COUNT(D172:G172)&lt;4),"",IF(OR(D172&lt;=0,E172&lt;0,F172&lt;0,G172&lt;0,E172&gt;D172,F172&gt;E172,G172&gt;F172,D172&lt;&gt;INT(D172),E172&lt;&gt;INT(E172),F172&lt;&gt;INT(F172),G172&lt;&gt;INT(G172)),"",G172/D172))))</f>
      </c>
      <c r="L172" s="15" t="str">
        <f t="shared" si="14">IF(B172="","",IF(C172="N",IF(H172="","Add approved N/A reference","N/A documented"),IF(C172&lt;&gt;"Y","Select Y / N",IF(COUNT(D172:G172)&lt;4,"Enter all four counts",IF(OR(D172&lt;0,E172&lt;0,F172&lt;0,G172&lt;0,E172&gt;D172,F172&gt;E172,G172&gt;F172,D172&lt;&gt;INT(D172),E172&lt;&gt;INT(E172),F172&lt;&gt;INT(F172),G172&lt;&gt;INT(G172)),"Review record counts",IF(D172=0,"Set expected count or justify zero scope","Counts consistent"))))))</f>
      </c>
    </row>
    <row r="173" spans="1:12" ht="24" customHeight="1">
      <c r="A173" s="15" t="str">
        <f t="shared" ref="A173:A204" si="15">IF(B173="","",ROW()-12)</f>
        <v/>
      </c>
      <c r="B173" s="13"/>
      <c r="C173" s="13"/>
      <c r="D173" s="20"/>
      <c r="E173" s="20"/>
      <c r="F173" s="20"/>
      <c r="G173" s="20"/>
      <c r="H173" s="13"/>
      <c r="I173" s="13"/>
      <c r="J173" s="17"/>
      <c r="K173" s="21" t="str">
        <f t="shared" ref="K173:K204" si="16">IF(B173="","",IF(C173="N","N/A",IF(OR(C173&lt;&gt;"Y",COUNT(D173:G173)&lt;4),"",IF(OR(D173&lt;=0,E173&lt;0,F173&lt;0,G173&lt;0,E173&gt;D173,F173&gt;E173,G173&gt;F173,D173&lt;&gt;INT(D173),E173&lt;&gt;INT(E173),F173&lt;&gt;INT(F173),G173&lt;&gt;INT(G173)),"",G173/D173))))</f>
      </c>
      <c r="L173" s="15" t="str">
        <f t="shared" ref="L173:L204" si="17">IF(B173="","",IF(C173="N",IF(H173="","Add approved N/A reference","N/A documented"),IF(C173&lt;&gt;"Y","Select Y / N",IF(COUNT(D173:G173)&lt;4,"Enter all four counts",IF(OR(D173&lt;0,E173&lt;0,F173&lt;0,G173&lt;0,E173&gt;D173,F173&gt;E173,G173&gt;F173,D173&lt;&gt;INT(D173),E173&lt;&gt;INT(E173),F173&lt;&gt;INT(F173),G173&lt;&gt;INT(G173)),"Review record counts",IF(D173=0,"Set expected count or justify zero scope","Counts consistent"))))))</f>
      </c>
    </row>
    <row r="174" spans="1:12" ht="24" customHeight="1">
      <c r="A174" s="15" t="str">
        <f t="shared" si="15"/>
        <v/>
      </c>
      <c r="B174" s="13"/>
      <c r="C174" s="13"/>
      <c r="D174" s="20"/>
      <c r="E174" s="20"/>
      <c r="F174" s="20"/>
      <c r="G174" s="20"/>
      <c r="H174" s="13"/>
      <c r="I174" s="13"/>
      <c r="J174" s="17"/>
      <c r="K174" s="21" t="str">
        <f t="shared" si="16">IF(B174="","",IF(C174="N","N/A",IF(OR(C174&lt;&gt;"Y",COUNT(D174:G174)&lt;4),"",IF(OR(D174&lt;=0,E174&lt;0,F174&lt;0,G174&lt;0,E174&gt;D174,F174&gt;E174,G174&gt;F174,D174&lt;&gt;INT(D174),E174&lt;&gt;INT(E174),F174&lt;&gt;INT(F174),G174&lt;&gt;INT(G174)),"",G174/D174))))</f>
      </c>
      <c r="L174" s="15" t="str">
        <f t="shared" si="17">IF(B174="","",IF(C174="N",IF(H174="","Add approved N/A reference","N/A documented"),IF(C174&lt;&gt;"Y","Select Y / N",IF(COUNT(D174:G174)&lt;4,"Enter all four counts",IF(OR(D174&lt;0,E174&lt;0,F174&lt;0,G174&lt;0,E174&gt;D174,F174&gt;E174,G174&gt;F174,D174&lt;&gt;INT(D174),E174&lt;&gt;INT(E174),F174&lt;&gt;INT(F174),G174&lt;&gt;INT(G174)),"Review record counts",IF(D174=0,"Set expected count or justify zero scope","Counts consistent"))))))</f>
      </c>
    </row>
    <row r="175" spans="1:12" ht="24" customHeight="1">
      <c r="A175" s="15" t="str">
        <f t="shared" si="15"/>
        <v/>
      </c>
      <c r="B175" s="13"/>
      <c r="C175" s="13"/>
      <c r="D175" s="20"/>
      <c r="E175" s="20"/>
      <c r="F175" s="20"/>
      <c r="G175" s="20"/>
      <c r="H175" s="13"/>
      <c r="I175" s="13"/>
      <c r="J175" s="17"/>
      <c r="K175" s="21" t="str">
        <f t="shared" si="16">IF(B175="","",IF(C175="N","N/A",IF(OR(C175&lt;&gt;"Y",COUNT(D175:G175)&lt;4),"",IF(OR(D175&lt;=0,E175&lt;0,F175&lt;0,G175&lt;0,E175&gt;D175,F175&gt;E175,G175&gt;F175,D175&lt;&gt;INT(D175),E175&lt;&gt;INT(E175),F175&lt;&gt;INT(F175),G175&lt;&gt;INT(G175)),"",G175/D175))))</f>
      </c>
      <c r="L175" s="15" t="str">
        <f t="shared" si="17">IF(B175="","",IF(C175="N",IF(H175="","Add approved N/A reference","N/A documented"),IF(C175&lt;&gt;"Y","Select Y / N",IF(COUNT(D175:G175)&lt;4,"Enter all four counts",IF(OR(D175&lt;0,E175&lt;0,F175&lt;0,G175&lt;0,E175&gt;D175,F175&gt;E175,G175&gt;F175,D175&lt;&gt;INT(D175),E175&lt;&gt;INT(E175),F175&lt;&gt;INT(F175),G175&lt;&gt;INT(G175)),"Review record counts",IF(D175=0,"Set expected count or justify zero scope","Counts consistent"))))))</f>
      </c>
    </row>
    <row r="176" spans="1:12" ht="24" customHeight="1">
      <c r="A176" s="15" t="str">
        <f t="shared" si="15"/>
        <v/>
      </c>
      <c r="B176" s="13"/>
      <c r="C176" s="13"/>
      <c r="D176" s="20"/>
      <c r="E176" s="20"/>
      <c r="F176" s="20"/>
      <c r="G176" s="20"/>
      <c r="H176" s="13"/>
      <c r="I176" s="13"/>
      <c r="J176" s="17"/>
      <c r="K176" s="21" t="str">
        <f t="shared" si="16">IF(B176="","",IF(C176="N","N/A",IF(OR(C176&lt;&gt;"Y",COUNT(D176:G176)&lt;4),"",IF(OR(D176&lt;=0,E176&lt;0,F176&lt;0,G176&lt;0,E176&gt;D176,F176&gt;E176,G176&gt;F176,D176&lt;&gt;INT(D176),E176&lt;&gt;INT(E176),F176&lt;&gt;INT(F176),G176&lt;&gt;INT(G176)),"",G176/D176))))</f>
      </c>
      <c r="L176" s="15" t="str">
        <f t="shared" si="17">IF(B176="","",IF(C176="N",IF(H176="","Add approved N/A reference","N/A documented"),IF(C176&lt;&gt;"Y","Select Y / N",IF(COUNT(D176:G176)&lt;4,"Enter all four counts",IF(OR(D176&lt;0,E176&lt;0,F176&lt;0,G176&lt;0,E176&gt;D176,F176&gt;E176,G176&gt;F176,D176&lt;&gt;INT(D176),E176&lt;&gt;INT(E176),F176&lt;&gt;INT(F176),G176&lt;&gt;INT(G176)),"Review record counts",IF(D176=0,"Set expected count or justify zero scope","Counts consistent"))))))</f>
      </c>
    </row>
    <row r="177" spans="1:12" ht="24" customHeight="1">
      <c r="A177" s="15" t="str">
        <f t="shared" si="15"/>
        <v/>
      </c>
      <c r="B177" s="13"/>
      <c r="C177" s="13"/>
      <c r="D177" s="20"/>
      <c r="E177" s="20"/>
      <c r="F177" s="20"/>
      <c r="G177" s="20"/>
      <c r="H177" s="13"/>
      <c r="I177" s="13"/>
      <c r="J177" s="17"/>
      <c r="K177" s="21" t="str">
        <f t="shared" si="16">IF(B177="","",IF(C177="N","N/A",IF(OR(C177&lt;&gt;"Y",COUNT(D177:G177)&lt;4),"",IF(OR(D177&lt;=0,E177&lt;0,F177&lt;0,G177&lt;0,E177&gt;D177,F177&gt;E177,G177&gt;F177,D177&lt;&gt;INT(D177),E177&lt;&gt;INT(E177),F177&lt;&gt;INT(F177),G177&lt;&gt;INT(G177)),"",G177/D177))))</f>
      </c>
      <c r="L177" s="15" t="str">
        <f t="shared" si="17">IF(B177="","",IF(C177="N",IF(H177="","Add approved N/A reference","N/A documented"),IF(C177&lt;&gt;"Y","Select Y / N",IF(COUNT(D177:G177)&lt;4,"Enter all four counts",IF(OR(D177&lt;0,E177&lt;0,F177&lt;0,G177&lt;0,E177&gt;D177,F177&gt;E177,G177&gt;F177,D177&lt;&gt;INT(D177),E177&lt;&gt;INT(E177),F177&lt;&gt;INT(F177),G177&lt;&gt;INT(G177)),"Review record counts",IF(D177=0,"Set expected count or justify zero scope","Counts consistent"))))))</f>
      </c>
    </row>
    <row r="178" spans="1:12" ht="24" customHeight="1">
      <c r="A178" s="15" t="str">
        <f t="shared" si="15"/>
        <v/>
      </c>
      <c r="B178" s="13"/>
      <c r="C178" s="13"/>
      <c r="D178" s="20"/>
      <c r="E178" s="20"/>
      <c r="F178" s="20"/>
      <c r="G178" s="20"/>
      <c r="H178" s="13"/>
      <c r="I178" s="13"/>
      <c r="J178" s="17"/>
      <c r="K178" s="21" t="str">
        <f t="shared" si="16">IF(B178="","",IF(C178="N","N/A",IF(OR(C178&lt;&gt;"Y",COUNT(D178:G178)&lt;4),"",IF(OR(D178&lt;=0,E178&lt;0,F178&lt;0,G178&lt;0,E178&gt;D178,F178&gt;E178,G178&gt;F178,D178&lt;&gt;INT(D178),E178&lt;&gt;INT(E178),F178&lt;&gt;INT(F178),G178&lt;&gt;INT(G178)),"",G178/D178))))</f>
      </c>
      <c r="L178" s="15" t="str">
        <f t="shared" si="17">IF(B178="","",IF(C178="N",IF(H178="","Add approved N/A reference","N/A documented"),IF(C178&lt;&gt;"Y","Select Y / N",IF(COUNT(D178:G178)&lt;4,"Enter all four counts",IF(OR(D178&lt;0,E178&lt;0,F178&lt;0,G178&lt;0,E178&gt;D178,F178&gt;E178,G178&gt;F178,D178&lt;&gt;INT(D178),E178&lt;&gt;INT(E178),F178&lt;&gt;INT(F178),G178&lt;&gt;INT(G178)),"Review record counts",IF(D178=0,"Set expected count or justify zero scope","Counts consistent"))))))</f>
      </c>
    </row>
    <row r="179" spans="1:12" ht="24" customHeight="1">
      <c r="A179" s="15" t="str">
        <f t="shared" si="15"/>
        <v/>
      </c>
      <c r="B179" s="13"/>
      <c r="C179" s="13"/>
      <c r="D179" s="20"/>
      <c r="E179" s="20"/>
      <c r="F179" s="20"/>
      <c r="G179" s="20"/>
      <c r="H179" s="13"/>
      <c r="I179" s="13"/>
      <c r="J179" s="17"/>
      <c r="K179" s="21" t="str">
        <f t="shared" si="16">IF(B179="","",IF(C179="N","N/A",IF(OR(C179&lt;&gt;"Y",COUNT(D179:G179)&lt;4),"",IF(OR(D179&lt;=0,E179&lt;0,F179&lt;0,G179&lt;0,E179&gt;D179,F179&gt;E179,G179&gt;F179,D179&lt;&gt;INT(D179),E179&lt;&gt;INT(E179),F179&lt;&gt;INT(F179),G179&lt;&gt;INT(G179)),"",G179/D179))))</f>
      </c>
      <c r="L179" s="15" t="str">
        <f t="shared" si="17">IF(B179="","",IF(C179="N",IF(H179="","Add approved N/A reference","N/A documented"),IF(C179&lt;&gt;"Y","Select Y / N",IF(COUNT(D179:G179)&lt;4,"Enter all four counts",IF(OR(D179&lt;0,E179&lt;0,F179&lt;0,G179&lt;0,E179&gt;D179,F179&gt;E179,G179&gt;F179,D179&lt;&gt;INT(D179),E179&lt;&gt;INT(E179),F179&lt;&gt;INT(F179),G179&lt;&gt;INT(G179)),"Review record counts",IF(D179=0,"Set expected count or justify zero scope","Counts consistent"))))))</f>
      </c>
    </row>
    <row r="180" spans="1:12" ht="24" customHeight="1">
      <c r="A180" s="15" t="str">
        <f t="shared" si="15"/>
        <v/>
      </c>
      <c r="B180" s="13"/>
      <c r="C180" s="13"/>
      <c r="D180" s="20"/>
      <c r="E180" s="20"/>
      <c r="F180" s="20"/>
      <c r="G180" s="20"/>
      <c r="H180" s="13"/>
      <c r="I180" s="13"/>
      <c r="J180" s="17"/>
      <c r="K180" s="21" t="str">
        <f t="shared" si="16">IF(B180="","",IF(C180="N","N/A",IF(OR(C180&lt;&gt;"Y",COUNT(D180:G180)&lt;4),"",IF(OR(D180&lt;=0,E180&lt;0,F180&lt;0,G180&lt;0,E180&gt;D180,F180&gt;E180,G180&gt;F180,D180&lt;&gt;INT(D180),E180&lt;&gt;INT(E180),F180&lt;&gt;INT(F180),G180&lt;&gt;INT(G180)),"",G180/D180))))</f>
      </c>
      <c r="L180" s="15" t="str">
        <f t="shared" si="17">IF(B180="","",IF(C180="N",IF(H180="","Add approved N/A reference","N/A documented"),IF(C180&lt;&gt;"Y","Select Y / N",IF(COUNT(D180:G180)&lt;4,"Enter all four counts",IF(OR(D180&lt;0,E180&lt;0,F180&lt;0,G180&lt;0,E180&gt;D180,F180&gt;E180,G180&gt;F180,D180&lt;&gt;INT(D180),E180&lt;&gt;INT(E180),F180&lt;&gt;INT(F180),G180&lt;&gt;INT(G180)),"Review record counts",IF(D180=0,"Set expected count or justify zero scope","Counts consistent"))))))</f>
      </c>
    </row>
    <row r="181" spans="1:12" ht="24" customHeight="1">
      <c r="A181" s="15" t="str">
        <f t="shared" si="15"/>
        <v/>
      </c>
      <c r="B181" s="13"/>
      <c r="C181" s="13"/>
      <c r="D181" s="20"/>
      <c r="E181" s="20"/>
      <c r="F181" s="20"/>
      <c r="G181" s="20"/>
      <c r="H181" s="13"/>
      <c r="I181" s="13"/>
      <c r="J181" s="17"/>
      <c r="K181" s="21" t="str">
        <f t="shared" si="16">IF(B181="","",IF(C181="N","N/A",IF(OR(C181&lt;&gt;"Y",COUNT(D181:G181)&lt;4),"",IF(OR(D181&lt;=0,E181&lt;0,F181&lt;0,G181&lt;0,E181&gt;D181,F181&gt;E181,G181&gt;F181,D181&lt;&gt;INT(D181),E181&lt;&gt;INT(E181),F181&lt;&gt;INT(F181),G181&lt;&gt;INT(G181)),"",G181/D181))))</f>
      </c>
      <c r="L181" s="15" t="str">
        <f t="shared" si="17">IF(B181="","",IF(C181="N",IF(H181="","Add approved N/A reference","N/A documented"),IF(C181&lt;&gt;"Y","Select Y / N",IF(COUNT(D181:G181)&lt;4,"Enter all four counts",IF(OR(D181&lt;0,E181&lt;0,F181&lt;0,G181&lt;0,E181&gt;D181,F181&gt;E181,G181&gt;F181,D181&lt;&gt;INT(D181),E181&lt;&gt;INT(E181),F181&lt;&gt;INT(F181),G181&lt;&gt;INT(G181)),"Review record counts",IF(D181=0,"Set expected count or justify zero scope","Counts consistent"))))))</f>
      </c>
    </row>
    <row r="182" spans="1:12" ht="24" customHeight="1">
      <c r="A182" s="15" t="str">
        <f t="shared" si="15"/>
        <v/>
      </c>
      <c r="B182" s="13"/>
      <c r="C182" s="13"/>
      <c r="D182" s="20"/>
      <c r="E182" s="20"/>
      <c r="F182" s="20"/>
      <c r="G182" s="20"/>
      <c r="H182" s="13"/>
      <c r="I182" s="13"/>
      <c r="J182" s="17"/>
      <c r="K182" s="21" t="str">
        <f t="shared" si="16">IF(B182="","",IF(C182="N","N/A",IF(OR(C182&lt;&gt;"Y",COUNT(D182:G182)&lt;4),"",IF(OR(D182&lt;=0,E182&lt;0,F182&lt;0,G182&lt;0,E182&gt;D182,F182&gt;E182,G182&gt;F182,D182&lt;&gt;INT(D182),E182&lt;&gt;INT(E182),F182&lt;&gt;INT(F182),G182&lt;&gt;INT(G182)),"",G182/D182))))</f>
      </c>
      <c r="L182" s="15" t="str">
        <f t="shared" si="17">IF(B182="","",IF(C182="N",IF(H182="","Add approved N/A reference","N/A documented"),IF(C182&lt;&gt;"Y","Select Y / N",IF(COUNT(D182:G182)&lt;4,"Enter all four counts",IF(OR(D182&lt;0,E182&lt;0,F182&lt;0,G182&lt;0,E182&gt;D182,F182&gt;E182,G182&gt;F182,D182&lt;&gt;INT(D182),E182&lt;&gt;INT(E182),F182&lt;&gt;INT(F182),G182&lt;&gt;INT(G182)),"Review record counts",IF(D182=0,"Set expected count or justify zero scope","Counts consistent"))))))</f>
      </c>
    </row>
    <row r="183" spans="1:12" ht="24" customHeight="1">
      <c r="A183" s="15" t="str">
        <f t="shared" si="15"/>
        <v/>
      </c>
      <c r="B183" s="13"/>
      <c r="C183" s="13"/>
      <c r="D183" s="20"/>
      <c r="E183" s="20"/>
      <c r="F183" s="20"/>
      <c r="G183" s="20"/>
      <c r="H183" s="13"/>
      <c r="I183" s="13"/>
      <c r="J183" s="17"/>
      <c r="K183" s="21" t="str">
        <f t="shared" si="16">IF(B183="","",IF(C183="N","N/A",IF(OR(C183&lt;&gt;"Y",COUNT(D183:G183)&lt;4),"",IF(OR(D183&lt;=0,E183&lt;0,F183&lt;0,G183&lt;0,E183&gt;D183,F183&gt;E183,G183&gt;F183,D183&lt;&gt;INT(D183),E183&lt;&gt;INT(E183),F183&lt;&gt;INT(F183),G183&lt;&gt;INT(G183)),"",G183/D183))))</f>
      </c>
      <c r="L183" s="15" t="str">
        <f t="shared" si="17">IF(B183="","",IF(C183="N",IF(H183="","Add approved N/A reference","N/A documented"),IF(C183&lt;&gt;"Y","Select Y / N",IF(COUNT(D183:G183)&lt;4,"Enter all four counts",IF(OR(D183&lt;0,E183&lt;0,F183&lt;0,G183&lt;0,E183&gt;D183,F183&gt;E183,G183&gt;F183,D183&lt;&gt;INT(D183),E183&lt;&gt;INT(E183),F183&lt;&gt;INT(F183),G183&lt;&gt;INT(G183)),"Review record counts",IF(D183=0,"Set expected count or justify zero scope","Counts consistent"))))))</f>
      </c>
    </row>
    <row r="184" spans="1:12" ht="24" customHeight="1">
      <c r="A184" s="15" t="str">
        <f t="shared" si="15"/>
        <v/>
      </c>
      <c r="B184" s="13"/>
      <c r="C184" s="13"/>
      <c r="D184" s="20"/>
      <c r="E184" s="20"/>
      <c r="F184" s="20"/>
      <c r="G184" s="20"/>
      <c r="H184" s="13"/>
      <c r="I184" s="13"/>
      <c r="J184" s="17"/>
      <c r="K184" s="21" t="str">
        <f t="shared" si="16">IF(B184="","",IF(C184="N","N/A",IF(OR(C184&lt;&gt;"Y",COUNT(D184:G184)&lt;4),"",IF(OR(D184&lt;=0,E184&lt;0,F184&lt;0,G184&lt;0,E184&gt;D184,F184&gt;E184,G184&gt;F184,D184&lt;&gt;INT(D184),E184&lt;&gt;INT(E184),F184&lt;&gt;INT(F184),G184&lt;&gt;INT(G184)),"",G184/D184))))</f>
      </c>
      <c r="L184" s="15" t="str">
        <f t="shared" si="17">IF(B184="","",IF(C184="N",IF(H184="","Add approved N/A reference","N/A documented"),IF(C184&lt;&gt;"Y","Select Y / N",IF(COUNT(D184:G184)&lt;4,"Enter all four counts",IF(OR(D184&lt;0,E184&lt;0,F184&lt;0,G184&lt;0,E184&gt;D184,F184&gt;E184,G184&gt;F184,D184&lt;&gt;INT(D184),E184&lt;&gt;INT(E184),F184&lt;&gt;INT(F184),G184&lt;&gt;INT(G184)),"Review record counts",IF(D184=0,"Set expected count or justify zero scope","Counts consistent"))))))</f>
      </c>
    </row>
    <row r="185" spans="1:12" ht="24" customHeight="1">
      <c r="A185" s="15" t="str">
        <f t="shared" si="15"/>
        <v/>
      </c>
      <c r="B185" s="13"/>
      <c r="C185" s="13"/>
      <c r="D185" s="20"/>
      <c r="E185" s="20"/>
      <c r="F185" s="20"/>
      <c r="G185" s="20"/>
      <c r="H185" s="13"/>
      <c r="I185" s="13"/>
      <c r="J185" s="17"/>
      <c r="K185" s="21" t="str">
        <f t="shared" si="16">IF(B185="","",IF(C185="N","N/A",IF(OR(C185&lt;&gt;"Y",COUNT(D185:G185)&lt;4),"",IF(OR(D185&lt;=0,E185&lt;0,F185&lt;0,G185&lt;0,E185&gt;D185,F185&gt;E185,G185&gt;F185,D185&lt;&gt;INT(D185),E185&lt;&gt;INT(E185),F185&lt;&gt;INT(F185),G185&lt;&gt;INT(G185)),"",G185/D185))))</f>
      </c>
      <c r="L185" s="15" t="str">
        <f t="shared" si="17">IF(B185="","",IF(C185="N",IF(H185="","Add approved N/A reference","N/A documented"),IF(C185&lt;&gt;"Y","Select Y / N",IF(COUNT(D185:G185)&lt;4,"Enter all four counts",IF(OR(D185&lt;0,E185&lt;0,F185&lt;0,G185&lt;0,E185&gt;D185,F185&gt;E185,G185&gt;F185,D185&lt;&gt;INT(D185),E185&lt;&gt;INT(E185),F185&lt;&gt;INT(F185),G185&lt;&gt;INT(G185)),"Review record counts",IF(D185=0,"Set expected count or justify zero scope","Counts consistent"))))))</f>
      </c>
    </row>
    <row r="186" spans="1:12" ht="24" customHeight="1">
      <c r="A186" s="15" t="str">
        <f t="shared" si="15"/>
        <v/>
      </c>
      <c r="B186" s="13"/>
      <c r="C186" s="13"/>
      <c r="D186" s="20"/>
      <c r="E186" s="20"/>
      <c r="F186" s="20"/>
      <c r="G186" s="20"/>
      <c r="H186" s="13"/>
      <c r="I186" s="13"/>
      <c r="J186" s="17"/>
      <c r="K186" s="21" t="str">
        <f t="shared" si="16">IF(B186="","",IF(C186="N","N/A",IF(OR(C186&lt;&gt;"Y",COUNT(D186:G186)&lt;4),"",IF(OR(D186&lt;=0,E186&lt;0,F186&lt;0,G186&lt;0,E186&gt;D186,F186&gt;E186,G186&gt;F186,D186&lt;&gt;INT(D186),E186&lt;&gt;INT(E186),F186&lt;&gt;INT(F186),G186&lt;&gt;INT(G186)),"",G186/D186))))</f>
      </c>
      <c r="L186" s="15" t="str">
        <f t="shared" si="17">IF(B186="","",IF(C186="N",IF(H186="","Add approved N/A reference","N/A documented"),IF(C186&lt;&gt;"Y","Select Y / N",IF(COUNT(D186:G186)&lt;4,"Enter all four counts",IF(OR(D186&lt;0,E186&lt;0,F186&lt;0,G186&lt;0,E186&gt;D186,F186&gt;E186,G186&gt;F186,D186&lt;&gt;INT(D186),E186&lt;&gt;INT(E186),F186&lt;&gt;INT(F186),G186&lt;&gt;INT(G186)),"Review record counts",IF(D186=0,"Set expected count or justify zero scope","Counts consistent"))))))</f>
      </c>
    </row>
    <row r="187" spans="1:12" ht="24" customHeight="1">
      <c r="A187" s="15" t="str">
        <f t="shared" si="15"/>
        <v/>
      </c>
      <c r="B187" s="13"/>
      <c r="C187" s="13"/>
      <c r="D187" s="20"/>
      <c r="E187" s="20"/>
      <c r="F187" s="20"/>
      <c r="G187" s="20"/>
      <c r="H187" s="13"/>
      <c r="I187" s="13"/>
      <c r="J187" s="17"/>
      <c r="K187" s="21" t="str">
        <f t="shared" si="16">IF(B187="","",IF(C187="N","N/A",IF(OR(C187&lt;&gt;"Y",COUNT(D187:G187)&lt;4),"",IF(OR(D187&lt;=0,E187&lt;0,F187&lt;0,G187&lt;0,E187&gt;D187,F187&gt;E187,G187&gt;F187,D187&lt;&gt;INT(D187),E187&lt;&gt;INT(E187),F187&lt;&gt;INT(F187),G187&lt;&gt;INT(G187)),"",G187/D187))))</f>
      </c>
      <c r="L187" s="15" t="str">
        <f t="shared" si="17">IF(B187="","",IF(C187="N",IF(H187="","Add approved N/A reference","N/A documented"),IF(C187&lt;&gt;"Y","Select Y / N",IF(COUNT(D187:G187)&lt;4,"Enter all four counts",IF(OR(D187&lt;0,E187&lt;0,F187&lt;0,G187&lt;0,E187&gt;D187,F187&gt;E187,G187&gt;F187,D187&lt;&gt;INT(D187),E187&lt;&gt;INT(E187),F187&lt;&gt;INT(F187),G187&lt;&gt;INT(G187)),"Review record counts",IF(D187=0,"Set expected count or justify zero scope","Counts consistent"))))))</f>
      </c>
    </row>
    <row r="188" spans="1:12" ht="24" customHeight="1">
      <c r="A188" s="15" t="str">
        <f t="shared" si="15"/>
        <v/>
      </c>
      <c r="B188" s="13"/>
      <c r="C188" s="13"/>
      <c r="D188" s="20"/>
      <c r="E188" s="20"/>
      <c r="F188" s="20"/>
      <c r="G188" s="20"/>
      <c r="H188" s="13"/>
      <c r="I188" s="13"/>
      <c r="J188" s="17"/>
      <c r="K188" s="21" t="str">
        <f t="shared" si="16">IF(B188="","",IF(C188="N","N/A",IF(OR(C188&lt;&gt;"Y",COUNT(D188:G188)&lt;4),"",IF(OR(D188&lt;=0,E188&lt;0,F188&lt;0,G188&lt;0,E188&gt;D188,F188&gt;E188,G188&gt;F188,D188&lt;&gt;INT(D188),E188&lt;&gt;INT(E188),F188&lt;&gt;INT(F188),G188&lt;&gt;INT(G188)),"",G188/D188))))</f>
      </c>
      <c r="L188" s="15" t="str">
        <f t="shared" si="17">IF(B188="","",IF(C188="N",IF(H188="","Add approved N/A reference","N/A documented"),IF(C188&lt;&gt;"Y","Select Y / N",IF(COUNT(D188:G188)&lt;4,"Enter all four counts",IF(OR(D188&lt;0,E188&lt;0,F188&lt;0,G188&lt;0,E188&gt;D188,F188&gt;E188,G188&gt;F188,D188&lt;&gt;INT(D188),E188&lt;&gt;INT(E188),F188&lt;&gt;INT(F188),G188&lt;&gt;INT(G188)),"Review record counts",IF(D188=0,"Set expected count or justify zero scope","Counts consistent"))))))</f>
      </c>
    </row>
    <row r="189" spans="1:12" ht="24" customHeight="1">
      <c r="A189" s="15" t="str">
        <f t="shared" si="15"/>
        <v/>
      </c>
      <c r="B189" s="13"/>
      <c r="C189" s="13"/>
      <c r="D189" s="20"/>
      <c r="E189" s="20"/>
      <c r="F189" s="20"/>
      <c r="G189" s="20"/>
      <c r="H189" s="13"/>
      <c r="I189" s="13"/>
      <c r="J189" s="17"/>
      <c r="K189" s="21" t="str">
        <f t="shared" si="16">IF(B189="","",IF(C189="N","N/A",IF(OR(C189&lt;&gt;"Y",COUNT(D189:G189)&lt;4),"",IF(OR(D189&lt;=0,E189&lt;0,F189&lt;0,G189&lt;0,E189&gt;D189,F189&gt;E189,G189&gt;F189,D189&lt;&gt;INT(D189),E189&lt;&gt;INT(E189),F189&lt;&gt;INT(F189),G189&lt;&gt;INT(G189)),"",G189/D189))))</f>
      </c>
      <c r="L189" s="15" t="str">
        <f t="shared" si="17">IF(B189="","",IF(C189="N",IF(H189="","Add approved N/A reference","N/A documented"),IF(C189&lt;&gt;"Y","Select Y / N",IF(COUNT(D189:G189)&lt;4,"Enter all four counts",IF(OR(D189&lt;0,E189&lt;0,F189&lt;0,G189&lt;0,E189&gt;D189,F189&gt;E189,G189&gt;F189,D189&lt;&gt;INT(D189),E189&lt;&gt;INT(E189),F189&lt;&gt;INT(F189),G189&lt;&gt;INT(G189)),"Review record counts",IF(D189=0,"Set expected count or justify zero scope","Counts consistent"))))))</f>
      </c>
    </row>
    <row r="190" spans="1:12" ht="24" customHeight="1">
      <c r="A190" s="15" t="str">
        <f t="shared" si="15"/>
        <v/>
      </c>
      <c r="B190" s="13"/>
      <c r="C190" s="13"/>
      <c r="D190" s="20"/>
      <c r="E190" s="20"/>
      <c r="F190" s="20"/>
      <c r="G190" s="20"/>
      <c r="H190" s="13"/>
      <c r="I190" s="13"/>
      <c r="J190" s="17"/>
      <c r="K190" s="21" t="str">
        <f t="shared" si="16">IF(B190="","",IF(C190="N","N/A",IF(OR(C190&lt;&gt;"Y",COUNT(D190:G190)&lt;4),"",IF(OR(D190&lt;=0,E190&lt;0,F190&lt;0,G190&lt;0,E190&gt;D190,F190&gt;E190,G190&gt;F190,D190&lt;&gt;INT(D190),E190&lt;&gt;INT(E190),F190&lt;&gt;INT(F190),G190&lt;&gt;INT(G190)),"",G190/D190))))</f>
      </c>
      <c r="L190" s="15" t="str">
        <f t="shared" si="17">IF(B190="","",IF(C190="N",IF(H190="","Add approved N/A reference","N/A documented"),IF(C190&lt;&gt;"Y","Select Y / N",IF(COUNT(D190:G190)&lt;4,"Enter all four counts",IF(OR(D190&lt;0,E190&lt;0,F190&lt;0,G190&lt;0,E190&gt;D190,F190&gt;E190,G190&gt;F190,D190&lt;&gt;INT(D190),E190&lt;&gt;INT(E190),F190&lt;&gt;INT(F190),G190&lt;&gt;INT(G190)),"Review record counts",IF(D190=0,"Set expected count or justify zero scope","Counts consistent"))))))</f>
      </c>
    </row>
    <row r="191" spans="1:12" ht="24" customHeight="1">
      <c r="A191" s="15" t="str">
        <f t="shared" si="15"/>
        <v/>
      </c>
      <c r="B191" s="13"/>
      <c r="C191" s="13"/>
      <c r="D191" s="20"/>
      <c r="E191" s="20"/>
      <c r="F191" s="20"/>
      <c r="G191" s="20"/>
      <c r="H191" s="13"/>
      <c r="I191" s="13"/>
      <c r="J191" s="17"/>
      <c r="K191" s="21" t="str">
        <f t="shared" si="16">IF(B191="","",IF(C191="N","N/A",IF(OR(C191&lt;&gt;"Y",COUNT(D191:G191)&lt;4),"",IF(OR(D191&lt;=0,E191&lt;0,F191&lt;0,G191&lt;0,E191&gt;D191,F191&gt;E191,G191&gt;F191,D191&lt;&gt;INT(D191),E191&lt;&gt;INT(E191),F191&lt;&gt;INT(F191),G191&lt;&gt;INT(G191)),"",G191/D191))))</f>
      </c>
      <c r="L191" s="15" t="str">
        <f t="shared" si="17">IF(B191="","",IF(C191="N",IF(H191="","Add approved N/A reference","N/A documented"),IF(C191&lt;&gt;"Y","Select Y / N",IF(COUNT(D191:G191)&lt;4,"Enter all four counts",IF(OR(D191&lt;0,E191&lt;0,F191&lt;0,G191&lt;0,E191&gt;D191,F191&gt;E191,G191&gt;F191,D191&lt;&gt;INT(D191),E191&lt;&gt;INT(E191),F191&lt;&gt;INT(F191),G191&lt;&gt;INT(G191)),"Review record counts",IF(D191=0,"Set expected count or justify zero scope","Counts consistent"))))))</f>
      </c>
    </row>
    <row r="192" spans="1:12" ht="24" customHeight="1">
      <c r="A192" s="15" t="str">
        <f t="shared" si="15"/>
        <v/>
      </c>
      <c r="B192" s="13"/>
      <c r="C192" s="13"/>
      <c r="D192" s="20"/>
      <c r="E192" s="20"/>
      <c r="F192" s="20"/>
      <c r="G192" s="20"/>
      <c r="H192" s="13"/>
      <c r="I192" s="13"/>
      <c r="J192" s="17"/>
      <c r="K192" s="21" t="str">
        <f t="shared" si="16">IF(B192="","",IF(C192="N","N/A",IF(OR(C192&lt;&gt;"Y",COUNT(D192:G192)&lt;4),"",IF(OR(D192&lt;=0,E192&lt;0,F192&lt;0,G192&lt;0,E192&gt;D192,F192&gt;E192,G192&gt;F192,D192&lt;&gt;INT(D192),E192&lt;&gt;INT(E192),F192&lt;&gt;INT(F192),G192&lt;&gt;INT(G192)),"",G192/D192))))</f>
      </c>
      <c r="L192" s="15" t="str">
        <f t="shared" si="17">IF(B192="","",IF(C192="N",IF(H192="","Add approved N/A reference","N/A documented"),IF(C192&lt;&gt;"Y","Select Y / N",IF(COUNT(D192:G192)&lt;4,"Enter all four counts",IF(OR(D192&lt;0,E192&lt;0,F192&lt;0,G192&lt;0,E192&gt;D192,F192&gt;E192,G192&gt;F192,D192&lt;&gt;INT(D192),E192&lt;&gt;INT(E192),F192&lt;&gt;INT(F192),G192&lt;&gt;INT(G192)),"Review record counts",IF(D192=0,"Set expected count or justify zero scope","Counts consistent"))))))</f>
      </c>
    </row>
    <row r="193" spans="1:12" ht="24" customHeight="1">
      <c r="A193" s="15" t="str">
        <f t="shared" si="15"/>
        <v/>
      </c>
      <c r="B193" s="13"/>
      <c r="C193" s="13"/>
      <c r="D193" s="20"/>
      <c r="E193" s="20"/>
      <c r="F193" s="20"/>
      <c r="G193" s="20"/>
      <c r="H193" s="13"/>
      <c r="I193" s="13"/>
      <c r="J193" s="17"/>
      <c r="K193" s="21" t="str">
        <f t="shared" si="16">IF(B193="","",IF(C193="N","N/A",IF(OR(C193&lt;&gt;"Y",COUNT(D193:G193)&lt;4),"",IF(OR(D193&lt;=0,E193&lt;0,F193&lt;0,G193&lt;0,E193&gt;D193,F193&gt;E193,G193&gt;F193,D193&lt;&gt;INT(D193),E193&lt;&gt;INT(E193),F193&lt;&gt;INT(F193),G193&lt;&gt;INT(G193)),"",G193/D193))))</f>
      </c>
      <c r="L193" s="15" t="str">
        <f t="shared" si="17">IF(B193="","",IF(C193="N",IF(H193="","Add approved N/A reference","N/A documented"),IF(C193&lt;&gt;"Y","Select Y / N",IF(COUNT(D193:G193)&lt;4,"Enter all four counts",IF(OR(D193&lt;0,E193&lt;0,F193&lt;0,G193&lt;0,E193&gt;D193,F193&gt;E193,G193&gt;F193,D193&lt;&gt;INT(D193),E193&lt;&gt;INT(E193),F193&lt;&gt;INT(F193),G193&lt;&gt;INT(G193)),"Review record counts",IF(D193=0,"Set expected count or justify zero scope","Counts consistent"))))))</f>
      </c>
    </row>
    <row r="194" spans="1:12" ht="24" customHeight="1">
      <c r="A194" s="15" t="str">
        <f t="shared" si="15"/>
        <v/>
      </c>
      <c r="B194" s="13"/>
      <c r="C194" s="13"/>
      <c r="D194" s="20"/>
      <c r="E194" s="20"/>
      <c r="F194" s="20"/>
      <c r="G194" s="20"/>
      <c r="H194" s="13"/>
      <c r="I194" s="13"/>
      <c r="J194" s="17"/>
      <c r="K194" s="21" t="str">
        <f t="shared" si="16">IF(B194="","",IF(C194="N","N/A",IF(OR(C194&lt;&gt;"Y",COUNT(D194:G194)&lt;4),"",IF(OR(D194&lt;=0,E194&lt;0,F194&lt;0,G194&lt;0,E194&gt;D194,F194&gt;E194,G194&gt;F194,D194&lt;&gt;INT(D194),E194&lt;&gt;INT(E194),F194&lt;&gt;INT(F194),G194&lt;&gt;INT(G194)),"",G194/D194))))</f>
      </c>
      <c r="L194" s="15" t="str">
        <f t="shared" si="17">IF(B194="","",IF(C194="N",IF(H194="","Add approved N/A reference","N/A documented"),IF(C194&lt;&gt;"Y","Select Y / N",IF(COUNT(D194:G194)&lt;4,"Enter all four counts",IF(OR(D194&lt;0,E194&lt;0,F194&lt;0,G194&lt;0,E194&gt;D194,F194&gt;E194,G194&gt;F194,D194&lt;&gt;INT(D194),E194&lt;&gt;INT(E194),F194&lt;&gt;INT(F194),G194&lt;&gt;INT(G194)),"Review record counts",IF(D194=0,"Set expected count or justify zero scope","Counts consistent"))))))</f>
      </c>
    </row>
    <row r="195" spans="1:12" ht="24" customHeight="1">
      <c r="A195" s="15" t="str">
        <f t="shared" si="15"/>
        <v/>
      </c>
      <c r="B195" s="13"/>
      <c r="C195" s="13"/>
      <c r="D195" s="20"/>
      <c r="E195" s="20"/>
      <c r="F195" s="20"/>
      <c r="G195" s="20"/>
      <c r="H195" s="13"/>
      <c r="I195" s="13"/>
      <c r="J195" s="17"/>
      <c r="K195" s="21" t="str">
        <f t="shared" si="16">IF(B195="","",IF(C195="N","N/A",IF(OR(C195&lt;&gt;"Y",COUNT(D195:G195)&lt;4),"",IF(OR(D195&lt;=0,E195&lt;0,F195&lt;0,G195&lt;0,E195&gt;D195,F195&gt;E195,G195&gt;F195,D195&lt;&gt;INT(D195),E195&lt;&gt;INT(E195),F195&lt;&gt;INT(F195),G195&lt;&gt;INT(G195)),"",G195/D195))))</f>
      </c>
      <c r="L195" s="15" t="str">
        <f t="shared" si="17">IF(B195="","",IF(C195="N",IF(H195="","Add approved N/A reference","N/A documented"),IF(C195&lt;&gt;"Y","Select Y / N",IF(COUNT(D195:G195)&lt;4,"Enter all four counts",IF(OR(D195&lt;0,E195&lt;0,F195&lt;0,G195&lt;0,E195&gt;D195,F195&gt;E195,G195&gt;F195,D195&lt;&gt;INT(D195),E195&lt;&gt;INT(E195),F195&lt;&gt;INT(F195),G195&lt;&gt;INT(G195)),"Review record counts",IF(D195=0,"Set expected count or justify zero scope","Counts consistent"))))))</f>
      </c>
    </row>
    <row r="196" spans="1:12" ht="24" customHeight="1">
      <c r="A196" s="15" t="str">
        <f t="shared" si="15"/>
        <v/>
      </c>
      <c r="B196" s="13"/>
      <c r="C196" s="13"/>
      <c r="D196" s="20"/>
      <c r="E196" s="20"/>
      <c r="F196" s="20"/>
      <c r="G196" s="20"/>
      <c r="H196" s="13"/>
      <c r="I196" s="13"/>
      <c r="J196" s="17"/>
      <c r="K196" s="21" t="str">
        <f t="shared" si="16">IF(B196="","",IF(C196="N","N/A",IF(OR(C196&lt;&gt;"Y",COUNT(D196:G196)&lt;4),"",IF(OR(D196&lt;=0,E196&lt;0,F196&lt;0,G196&lt;0,E196&gt;D196,F196&gt;E196,G196&gt;F196,D196&lt;&gt;INT(D196),E196&lt;&gt;INT(E196),F196&lt;&gt;INT(F196),G196&lt;&gt;INT(G196)),"",G196/D196))))</f>
      </c>
      <c r="L196" s="15" t="str">
        <f t="shared" si="17">IF(B196="","",IF(C196="N",IF(H196="","Add approved N/A reference","N/A documented"),IF(C196&lt;&gt;"Y","Select Y / N",IF(COUNT(D196:G196)&lt;4,"Enter all four counts",IF(OR(D196&lt;0,E196&lt;0,F196&lt;0,G196&lt;0,E196&gt;D196,F196&gt;E196,G196&gt;F196,D196&lt;&gt;INT(D196),E196&lt;&gt;INT(E196),F196&lt;&gt;INT(F196),G196&lt;&gt;INT(G196)),"Review record counts",IF(D196=0,"Set expected count or justify zero scope","Counts consistent"))))))</f>
      </c>
    </row>
    <row r="197" spans="1:12" ht="24" customHeight="1">
      <c r="A197" s="15" t="str">
        <f t="shared" si="15"/>
        <v/>
      </c>
      <c r="B197" s="13"/>
      <c r="C197" s="13"/>
      <c r="D197" s="20"/>
      <c r="E197" s="20"/>
      <c r="F197" s="20"/>
      <c r="G197" s="20"/>
      <c r="H197" s="13"/>
      <c r="I197" s="13"/>
      <c r="J197" s="17"/>
      <c r="K197" s="21" t="str">
        <f t="shared" si="16">IF(B197="","",IF(C197="N","N/A",IF(OR(C197&lt;&gt;"Y",COUNT(D197:G197)&lt;4),"",IF(OR(D197&lt;=0,E197&lt;0,F197&lt;0,G197&lt;0,E197&gt;D197,F197&gt;E197,G197&gt;F197,D197&lt;&gt;INT(D197),E197&lt;&gt;INT(E197),F197&lt;&gt;INT(F197),G197&lt;&gt;INT(G197)),"",G197/D197))))</f>
      </c>
      <c r="L197" s="15" t="str">
        <f t="shared" si="17">IF(B197="","",IF(C197="N",IF(H197="","Add approved N/A reference","N/A documented"),IF(C197&lt;&gt;"Y","Select Y / N",IF(COUNT(D197:G197)&lt;4,"Enter all four counts",IF(OR(D197&lt;0,E197&lt;0,F197&lt;0,G197&lt;0,E197&gt;D197,F197&gt;E197,G197&gt;F197,D197&lt;&gt;INT(D197),E197&lt;&gt;INT(E197),F197&lt;&gt;INT(F197),G197&lt;&gt;INT(G197)),"Review record counts",IF(D197=0,"Set expected count or justify zero scope","Counts consistent"))))))</f>
      </c>
    </row>
    <row r="198" spans="1:12" ht="24" customHeight="1">
      <c r="A198" s="15" t="str">
        <f t="shared" si="15"/>
        <v/>
      </c>
      <c r="B198" s="13"/>
      <c r="C198" s="13"/>
      <c r="D198" s="20"/>
      <c r="E198" s="20"/>
      <c r="F198" s="20"/>
      <c r="G198" s="20"/>
      <c r="H198" s="13"/>
      <c r="I198" s="13"/>
      <c r="J198" s="17"/>
      <c r="K198" s="21" t="str">
        <f t="shared" si="16">IF(B198="","",IF(C198="N","N/A",IF(OR(C198&lt;&gt;"Y",COUNT(D198:G198)&lt;4),"",IF(OR(D198&lt;=0,E198&lt;0,F198&lt;0,G198&lt;0,E198&gt;D198,F198&gt;E198,G198&gt;F198,D198&lt;&gt;INT(D198),E198&lt;&gt;INT(E198),F198&lt;&gt;INT(F198),G198&lt;&gt;INT(G198)),"",G198/D198))))</f>
      </c>
      <c r="L198" s="15" t="str">
        <f t="shared" si="17">IF(B198="","",IF(C198="N",IF(H198="","Add approved N/A reference","N/A documented"),IF(C198&lt;&gt;"Y","Select Y / N",IF(COUNT(D198:G198)&lt;4,"Enter all four counts",IF(OR(D198&lt;0,E198&lt;0,F198&lt;0,G198&lt;0,E198&gt;D198,F198&gt;E198,G198&gt;F198,D198&lt;&gt;INT(D198),E198&lt;&gt;INT(E198),F198&lt;&gt;INT(F198),G198&lt;&gt;INT(G198)),"Review record counts",IF(D198=0,"Set expected count or justify zero scope","Counts consistent"))))))</f>
      </c>
    </row>
    <row r="199" spans="1:12" ht="24" customHeight="1">
      <c r="A199" s="15" t="str">
        <f t="shared" si="15"/>
        <v/>
      </c>
      <c r="B199" s="13"/>
      <c r="C199" s="13"/>
      <c r="D199" s="20"/>
      <c r="E199" s="20"/>
      <c r="F199" s="20"/>
      <c r="G199" s="20"/>
      <c r="H199" s="13"/>
      <c r="I199" s="13"/>
      <c r="J199" s="17"/>
      <c r="K199" s="21" t="str">
        <f t="shared" si="16">IF(B199="","",IF(C199="N","N/A",IF(OR(C199&lt;&gt;"Y",COUNT(D199:G199)&lt;4),"",IF(OR(D199&lt;=0,E199&lt;0,F199&lt;0,G199&lt;0,E199&gt;D199,F199&gt;E199,G199&gt;F199,D199&lt;&gt;INT(D199),E199&lt;&gt;INT(E199),F199&lt;&gt;INT(F199),G199&lt;&gt;INT(G199)),"",G199/D199))))</f>
      </c>
      <c r="L199" s="15" t="str">
        <f t="shared" si="17">IF(B199="","",IF(C199="N",IF(H199="","Add approved N/A reference","N/A documented"),IF(C199&lt;&gt;"Y","Select Y / N",IF(COUNT(D199:G199)&lt;4,"Enter all four counts",IF(OR(D199&lt;0,E199&lt;0,F199&lt;0,G199&lt;0,E199&gt;D199,F199&gt;E199,G199&gt;F199,D199&lt;&gt;INT(D199),E199&lt;&gt;INT(E199),F199&lt;&gt;INT(F199),G199&lt;&gt;INT(G199)),"Review record counts",IF(D199=0,"Set expected count or justify zero scope","Counts consistent"))))))</f>
      </c>
    </row>
    <row r="200" spans="1:12" ht="24" customHeight="1">
      <c r="A200" s="15" t="str">
        <f t="shared" si="15"/>
        <v/>
      </c>
      <c r="B200" s="13"/>
      <c r="C200" s="13"/>
      <c r="D200" s="20"/>
      <c r="E200" s="20"/>
      <c r="F200" s="20"/>
      <c r="G200" s="20"/>
      <c r="H200" s="13"/>
      <c r="I200" s="13"/>
      <c r="J200" s="17"/>
      <c r="K200" s="21" t="str">
        <f t="shared" si="16">IF(B200="","",IF(C200="N","N/A",IF(OR(C200&lt;&gt;"Y",COUNT(D200:G200)&lt;4),"",IF(OR(D200&lt;=0,E200&lt;0,F200&lt;0,G200&lt;0,E200&gt;D200,F200&gt;E200,G200&gt;F200,D200&lt;&gt;INT(D200),E200&lt;&gt;INT(E200),F200&lt;&gt;INT(F200),G200&lt;&gt;INT(G200)),"",G200/D200))))</f>
      </c>
      <c r="L200" s="15" t="str">
        <f t="shared" si="17">IF(B200="","",IF(C200="N",IF(H200="","Add approved N/A reference","N/A documented"),IF(C200&lt;&gt;"Y","Select Y / N",IF(COUNT(D200:G200)&lt;4,"Enter all four counts",IF(OR(D200&lt;0,E200&lt;0,F200&lt;0,G200&lt;0,E200&gt;D200,F200&gt;E200,G200&gt;F200,D200&lt;&gt;INT(D200),E200&lt;&gt;INT(E200),F200&lt;&gt;INT(F200),G200&lt;&gt;INT(G200)),"Review record counts",IF(D200=0,"Set expected count or justify zero scope","Counts consistent"))))))</f>
      </c>
    </row>
    <row r="201" spans="1:12" ht="24" customHeight="1">
      <c r="A201" s="15" t="str">
        <f t="shared" si="15"/>
        <v/>
      </c>
      <c r="B201" s="13"/>
      <c r="C201" s="13"/>
      <c r="D201" s="20"/>
      <c r="E201" s="20"/>
      <c r="F201" s="20"/>
      <c r="G201" s="20"/>
      <c r="H201" s="13"/>
      <c r="I201" s="13"/>
      <c r="J201" s="17"/>
      <c r="K201" s="21" t="str">
        <f t="shared" si="16">IF(B201="","",IF(C201="N","N/A",IF(OR(C201&lt;&gt;"Y",COUNT(D201:G201)&lt;4),"",IF(OR(D201&lt;=0,E201&lt;0,F201&lt;0,G201&lt;0,E201&gt;D201,F201&gt;E201,G201&gt;F201,D201&lt;&gt;INT(D201),E201&lt;&gt;INT(E201),F201&lt;&gt;INT(F201),G201&lt;&gt;INT(G201)),"",G201/D201))))</f>
      </c>
      <c r="L201" s="15" t="str">
        <f t="shared" si="17">IF(B201="","",IF(C201="N",IF(H201="","Add approved N/A reference","N/A documented"),IF(C201&lt;&gt;"Y","Select Y / N",IF(COUNT(D201:G201)&lt;4,"Enter all four counts",IF(OR(D201&lt;0,E201&lt;0,F201&lt;0,G201&lt;0,E201&gt;D201,F201&gt;E201,G201&gt;F201,D201&lt;&gt;INT(D201),E201&lt;&gt;INT(E201),F201&lt;&gt;INT(F201),G201&lt;&gt;INT(G201)),"Review record counts",IF(D201=0,"Set expected count or justify zero scope","Counts consistent"))))))</f>
      </c>
    </row>
    <row r="202" spans="1:12" ht="24" customHeight="1">
      <c r="A202" s="15" t="str">
        <f t="shared" si="15"/>
        <v/>
      </c>
      <c r="B202" s="13"/>
      <c r="C202" s="13"/>
      <c r="D202" s="20"/>
      <c r="E202" s="20"/>
      <c r="F202" s="20"/>
      <c r="G202" s="20"/>
      <c r="H202" s="13"/>
      <c r="I202" s="13"/>
      <c r="J202" s="17"/>
      <c r="K202" s="21" t="str">
        <f t="shared" si="16">IF(B202="","",IF(C202="N","N/A",IF(OR(C202&lt;&gt;"Y",COUNT(D202:G202)&lt;4),"",IF(OR(D202&lt;=0,E202&lt;0,F202&lt;0,G202&lt;0,E202&gt;D202,F202&gt;E202,G202&gt;F202,D202&lt;&gt;INT(D202),E202&lt;&gt;INT(E202),F202&lt;&gt;INT(F202),G202&lt;&gt;INT(G202)),"",G202/D202))))</f>
      </c>
      <c r="L202" s="15" t="str">
        <f t="shared" si="17">IF(B202="","",IF(C202="N",IF(H202="","Add approved N/A reference","N/A documented"),IF(C202&lt;&gt;"Y","Select Y / N",IF(COUNT(D202:G202)&lt;4,"Enter all four counts",IF(OR(D202&lt;0,E202&lt;0,F202&lt;0,G202&lt;0,E202&gt;D202,F202&gt;E202,G202&gt;F202,D202&lt;&gt;INT(D202),E202&lt;&gt;INT(E202),F202&lt;&gt;INT(F202),G202&lt;&gt;INT(G202)),"Review record counts",IF(D202=0,"Set expected count or justify zero scope","Counts consistent"))))))</f>
      </c>
    </row>
    <row r="203" spans="1:12" ht="24" customHeight="1">
      <c r="A203" s="15" t="str">
        <f t="shared" si="15"/>
        <v/>
      </c>
      <c r="B203" s="13"/>
      <c r="C203" s="13"/>
      <c r="D203" s="20"/>
      <c r="E203" s="20"/>
      <c r="F203" s="20"/>
      <c r="G203" s="20"/>
      <c r="H203" s="13"/>
      <c r="I203" s="13"/>
      <c r="J203" s="17"/>
      <c r="K203" s="21" t="str">
        <f t="shared" si="16">IF(B203="","",IF(C203="N","N/A",IF(OR(C203&lt;&gt;"Y",COUNT(D203:G203)&lt;4),"",IF(OR(D203&lt;=0,E203&lt;0,F203&lt;0,G203&lt;0,E203&gt;D203,F203&gt;E203,G203&gt;F203,D203&lt;&gt;INT(D203),E203&lt;&gt;INT(E203),F203&lt;&gt;INT(F203),G203&lt;&gt;INT(G203)),"",G203/D203))))</f>
      </c>
      <c r="L203" s="15" t="str">
        <f t="shared" si="17">IF(B203="","",IF(C203="N",IF(H203="","Add approved N/A reference","N/A documented"),IF(C203&lt;&gt;"Y","Select Y / N",IF(COUNT(D203:G203)&lt;4,"Enter all four counts",IF(OR(D203&lt;0,E203&lt;0,F203&lt;0,G203&lt;0,E203&gt;D203,F203&gt;E203,G203&gt;F203,D203&lt;&gt;INT(D203),E203&lt;&gt;INT(E203),F203&lt;&gt;INT(F203),G203&lt;&gt;INT(G203)),"Review record counts",IF(D203=0,"Set expected count or justify zero scope","Counts consistent"))))))</f>
      </c>
    </row>
    <row r="204" spans="1:12" ht="24" customHeight="1">
      <c r="A204" s="15" t="str">
        <f t="shared" si="15"/>
        <v/>
      </c>
      <c r="B204" s="13"/>
      <c r="C204" s="13"/>
      <c r="D204" s="20"/>
      <c r="E204" s="20"/>
      <c r="F204" s="20"/>
      <c r="G204" s="20"/>
      <c r="H204" s="13"/>
      <c r="I204" s="13"/>
      <c r="J204" s="17"/>
      <c r="K204" s="21" t="str">
        <f t="shared" si="16">IF(B204="","",IF(C204="N","N/A",IF(OR(C204&lt;&gt;"Y",COUNT(D204:G204)&lt;4),"",IF(OR(D204&lt;=0,E204&lt;0,F204&lt;0,G204&lt;0,E204&gt;D204,F204&gt;E204,G204&gt;F204,D204&lt;&gt;INT(D204),E204&lt;&gt;INT(E204),F204&lt;&gt;INT(F204),G204&lt;&gt;INT(G204)),"",G204/D204))))</f>
      </c>
      <c r="L204" s="15" t="str">
        <f t="shared" si="17">IF(B204="","",IF(C204="N",IF(H204="","Add approved N/A reference","N/A documented"),IF(C204&lt;&gt;"Y","Select Y / N",IF(COUNT(D204:G204)&lt;4,"Enter all four counts",IF(OR(D204&lt;0,E204&lt;0,F204&lt;0,G204&lt;0,E204&gt;D204,F204&gt;E204,G204&gt;F204,D204&lt;&gt;INT(D204),E204&lt;&gt;INT(E204),F204&lt;&gt;INT(F204),G204&lt;&gt;INT(G204)),"Review record counts",IF(D204=0,"Set expected count or justify zero scope","Counts consistent"))))))</f>
      </c>
    </row>
    <row r="205" spans="1:12" ht="24" customHeight="1">
      <c r="A205" s="15" t="str">
        <f t="shared" ref="A205:A236" si="18">IF(B205="","",ROW()-12)</f>
        <v/>
      </c>
      <c r="B205" s="13"/>
      <c r="C205" s="13"/>
      <c r="D205" s="20"/>
      <c r="E205" s="20"/>
      <c r="F205" s="20"/>
      <c r="G205" s="20"/>
      <c r="H205" s="13"/>
      <c r="I205" s="13"/>
      <c r="J205" s="17"/>
      <c r="K205" s="21" t="str">
        <f t="shared" ref="K205:K212" si="19">IF(B205="","",IF(C205="N","N/A",IF(OR(C205&lt;&gt;"Y",COUNT(D205:G205)&lt;4),"",IF(OR(D205&lt;=0,E205&lt;0,F205&lt;0,G205&lt;0,E205&gt;D205,F205&gt;E205,G205&gt;F205,D205&lt;&gt;INT(D205),E205&lt;&gt;INT(E205),F205&lt;&gt;INT(F205),G205&lt;&gt;INT(G205)),"",G205/D205))))</f>
      </c>
      <c r="L205" s="15" t="str">
        <f t="shared" ref="L205:L212" si="20">IF(B205="","",IF(C205="N",IF(H205="","Add approved N/A reference","N/A documented"),IF(C205&lt;&gt;"Y","Select Y / N",IF(COUNT(D205:G205)&lt;4,"Enter all four counts",IF(OR(D205&lt;0,E205&lt;0,F205&lt;0,G205&lt;0,E205&gt;D205,F205&gt;E205,G205&gt;F205,D205&lt;&gt;INT(D205),E205&lt;&gt;INT(E205),F205&lt;&gt;INT(F205),G205&lt;&gt;INT(G205)),"Review record counts",IF(D205=0,"Set expected count or justify zero scope","Counts consistent"))))))</f>
      </c>
    </row>
    <row r="206" spans="1:12" ht="24" customHeight="1">
      <c r="A206" s="15" t="str">
        <f t="shared" si="18"/>
        <v/>
      </c>
      <c r="B206" s="13"/>
      <c r="C206" s="13"/>
      <c r="D206" s="20"/>
      <c r="E206" s="20"/>
      <c r="F206" s="20"/>
      <c r="G206" s="20"/>
      <c r="H206" s="13"/>
      <c r="I206" s="13"/>
      <c r="J206" s="17"/>
      <c r="K206" s="21" t="str">
        <f t="shared" si="19">IF(B206="","",IF(C206="N","N/A",IF(OR(C206&lt;&gt;"Y",COUNT(D206:G206)&lt;4),"",IF(OR(D206&lt;=0,E206&lt;0,F206&lt;0,G206&lt;0,E206&gt;D206,F206&gt;E206,G206&gt;F206,D206&lt;&gt;INT(D206),E206&lt;&gt;INT(E206),F206&lt;&gt;INT(F206),G206&lt;&gt;INT(G206)),"",G206/D206))))</f>
      </c>
      <c r="L206" s="15" t="str">
        <f t="shared" si="20">IF(B206="","",IF(C206="N",IF(H206="","Add approved N/A reference","N/A documented"),IF(C206&lt;&gt;"Y","Select Y / N",IF(COUNT(D206:G206)&lt;4,"Enter all four counts",IF(OR(D206&lt;0,E206&lt;0,F206&lt;0,G206&lt;0,E206&gt;D206,F206&gt;E206,G206&gt;F206,D206&lt;&gt;INT(D206),E206&lt;&gt;INT(E206),F206&lt;&gt;INT(F206),G206&lt;&gt;INT(G206)),"Review record counts",IF(D206=0,"Set expected count or justify zero scope","Counts consistent"))))))</f>
      </c>
    </row>
    <row r="207" spans="1:12" ht="24" customHeight="1">
      <c r="A207" s="15" t="str">
        <f t="shared" si="18"/>
        <v/>
      </c>
      <c r="B207" s="13"/>
      <c r="C207" s="13"/>
      <c r="D207" s="20"/>
      <c r="E207" s="20"/>
      <c r="F207" s="20"/>
      <c r="G207" s="20"/>
      <c r="H207" s="13"/>
      <c r="I207" s="13"/>
      <c r="J207" s="17"/>
      <c r="K207" s="21" t="str">
        <f t="shared" si="19">IF(B207="","",IF(C207="N","N/A",IF(OR(C207&lt;&gt;"Y",COUNT(D207:G207)&lt;4),"",IF(OR(D207&lt;=0,E207&lt;0,F207&lt;0,G207&lt;0,E207&gt;D207,F207&gt;E207,G207&gt;F207,D207&lt;&gt;INT(D207),E207&lt;&gt;INT(E207),F207&lt;&gt;INT(F207),G207&lt;&gt;INT(G207)),"",G207/D207))))</f>
      </c>
      <c r="L207" s="15" t="str">
        <f t="shared" si="20">IF(B207="","",IF(C207="N",IF(H207="","Add approved N/A reference","N/A documented"),IF(C207&lt;&gt;"Y","Select Y / N",IF(COUNT(D207:G207)&lt;4,"Enter all four counts",IF(OR(D207&lt;0,E207&lt;0,F207&lt;0,G207&lt;0,E207&gt;D207,F207&gt;E207,G207&gt;F207,D207&lt;&gt;INT(D207),E207&lt;&gt;INT(E207),F207&lt;&gt;INT(F207),G207&lt;&gt;INT(G207)),"Review record counts",IF(D207=0,"Set expected count or justify zero scope","Counts consistent"))))))</f>
      </c>
    </row>
    <row r="208" spans="1:12" ht="24" customHeight="1">
      <c r="A208" s="15" t="str">
        <f t="shared" si="18"/>
        <v/>
      </c>
      <c r="B208" s="13"/>
      <c r="C208" s="13"/>
      <c r="D208" s="20"/>
      <c r="E208" s="20"/>
      <c r="F208" s="20"/>
      <c r="G208" s="20"/>
      <c r="H208" s="13"/>
      <c r="I208" s="13"/>
      <c r="J208" s="17"/>
      <c r="K208" s="21" t="str">
        <f t="shared" si="19">IF(B208="","",IF(C208="N","N/A",IF(OR(C208&lt;&gt;"Y",COUNT(D208:G208)&lt;4),"",IF(OR(D208&lt;=0,E208&lt;0,F208&lt;0,G208&lt;0,E208&gt;D208,F208&gt;E208,G208&gt;F208,D208&lt;&gt;INT(D208),E208&lt;&gt;INT(E208),F208&lt;&gt;INT(F208),G208&lt;&gt;INT(G208)),"",G208/D208))))</f>
      </c>
      <c r="L208" s="15" t="str">
        <f t="shared" si="20">IF(B208="","",IF(C208="N",IF(H208="","Add approved N/A reference","N/A documented"),IF(C208&lt;&gt;"Y","Select Y / N",IF(COUNT(D208:G208)&lt;4,"Enter all four counts",IF(OR(D208&lt;0,E208&lt;0,F208&lt;0,G208&lt;0,E208&gt;D208,F208&gt;E208,G208&gt;F208,D208&lt;&gt;INT(D208),E208&lt;&gt;INT(E208),F208&lt;&gt;INT(F208),G208&lt;&gt;INT(G208)),"Review record counts",IF(D208=0,"Set expected count or justify zero scope","Counts consistent"))))))</f>
      </c>
    </row>
    <row r="209" spans="1:12" ht="24" customHeight="1">
      <c r="A209" s="15" t="str">
        <f t="shared" si="18"/>
        <v/>
      </c>
      <c r="B209" s="13"/>
      <c r="C209" s="13"/>
      <c r="D209" s="20"/>
      <c r="E209" s="20"/>
      <c r="F209" s="20"/>
      <c r="G209" s="20"/>
      <c r="H209" s="13"/>
      <c r="I209" s="13"/>
      <c r="J209" s="17"/>
      <c r="K209" s="21" t="str">
        <f t="shared" si="19">IF(B209="","",IF(C209="N","N/A",IF(OR(C209&lt;&gt;"Y",COUNT(D209:G209)&lt;4),"",IF(OR(D209&lt;=0,E209&lt;0,F209&lt;0,G209&lt;0,E209&gt;D209,F209&gt;E209,G209&gt;F209,D209&lt;&gt;INT(D209),E209&lt;&gt;INT(E209),F209&lt;&gt;INT(F209),G209&lt;&gt;INT(G209)),"",G209/D209))))</f>
      </c>
      <c r="L209" s="15" t="str">
        <f t="shared" si="20">IF(B209="","",IF(C209="N",IF(H209="","Add approved N/A reference","N/A documented"),IF(C209&lt;&gt;"Y","Select Y / N",IF(COUNT(D209:G209)&lt;4,"Enter all four counts",IF(OR(D209&lt;0,E209&lt;0,F209&lt;0,G209&lt;0,E209&gt;D209,F209&gt;E209,G209&gt;F209,D209&lt;&gt;INT(D209),E209&lt;&gt;INT(E209),F209&lt;&gt;INT(F209),G209&lt;&gt;INT(G209)),"Review record counts",IF(D209=0,"Set expected count or justify zero scope","Counts consistent"))))))</f>
      </c>
    </row>
    <row r="210" spans="1:12" ht="24" customHeight="1">
      <c r="A210" s="15" t="str">
        <f t="shared" si="18"/>
        <v/>
      </c>
      <c r="B210" s="13"/>
      <c r="C210" s="13"/>
      <c r="D210" s="20"/>
      <c r="E210" s="20"/>
      <c r="F210" s="20"/>
      <c r="G210" s="20"/>
      <c r="H210" s="13"/>
      <c r="I210" s="13"/>
      <c r="J210" s="17"/>
      <c r="K210" s="21" t="str">
        <f t="shared" si="19">IF(B210="","",IF(C210="N","N/A",IF(OR(C210&lt;&gt;"Y",COUNT(D210:G210)&lt;4),"",IF(OR(D210&lt;=0,E210&lt;0,F210&lt;0,G210&lt;0,E210&gt;D210,F210&gt;E210,G210&gt;F210,D210&lt;&gt;INT(D210),E210&lt;&gt;INT(E210),F210&lt;&gt;INT(F210),G210&lt;&gt;INT(G210)),"",G210/D210))))</f>
      </c>
      <c r="L210" s="15" t="str">
        <f t="shared" si="20">IF(B210="","",IF(C210="N",IF(H210="","Add approved N/A reference","N/A documented"),IF(C210&lt;&gt;"Y","Select Y / N",IF(COUNT(D210:G210)&lt;4,"Enter all four counts",IF(OR(D210&lt;0,E210&lt;0,F210&lt;0,G210&lt;0,E210&gt;D210,F210&gt;E210,G210&gt;F210,D210&lt;&gt;INT(D210),E210&lt;&gt;INT(E210),F210&lt;&gt;INT(F210),G210&lt;&gt;INT(G210)),"Review record counts",IF(D210=0,"Set expected count or justify zero scope","Counts consistent"))))))</f>
      </c>
    </row>
    <row r="211" spans="1:12" ht="24" customHeight="1">
      <c r="A211" s="15" t="str">
        <f t="shared" si="18"/>
        <v/>
      </c>
      <c r="B211" s="13"/>
      <c r="C211" s="13"/>
      <c r="D211" s="20"/>
      <c r="E211" s="20"/>
      <c r="F211" s="20"/>
      <c r="G211" s="20"/>
      <c r="H211" s="13"/>
      <c r="I211" s="13"/>
      <c r="J211" s="17"/>
      <c r="K211" s="21" t="str">
        <f t="shared" si="19">IF(B211="","",IF(C211="N","N/A",IF(OR(C211&lt;&gt;"Y",COUNT(D211:G211)&lt;4),"",IF(OR(D211&lt;=0,E211&lt;0,F211&lt;0,G211&lt;0,E211&gt;D211,F211&gt;E211,G211&gt;F211,D211&lt;&gt;INT(D211),E211&lt;&gt;INT(E211),F211&lt;&gt;INT(F211),G211&lt;&gt;INT(G211)),"",G211/D211))))</f>
      </c>
      <c r="L211" s="15" t="str">
        <f t="shared" si="20">IF(B211="","",IF(C211="N",IF(H211="","Add approved N/A reference","N/A documented"),IF(C211&lt;&gt;"Y","Select Y / N",IF(COUNT(D211:G211)&lt;4,"Enter all four counts",IF(OR(D211&lt;0,E211&lt;0,F211&lt;0,G211&lt;0,E211&gt;D211,F211&gt;E211,G211&gt;F211,D211&lt;&gt;INT(D211),E211&lt;&gt;INT(E211),F211&lt;&gt;INT(F211),G211&lt;&gt;INT(G211)),"Review record counts",IF(D211=0,"Set expected count or justify zero scope","Counts consistent"))))))</f>
      </c>
    </row>
    <row r="212" spans="1:12" ht="24" customHeight="1">
      <c r="A212" s="15" t="str">
        <f t="shared" si="18"/>
        <v/>
      </c>
      <c r="B212" s="13"/>
      <c r="C212" s="13"/>
      <c r="D212" s="20"/>
      <c r="E212" s="20"/>
      <c r="F212" s="20"/>
      <c r="G212" s="20"/>
      <c r="H212" s="13"/>
      <c r="I212" s="13"/>
      <c r="J212" s="17"/>
      <c r="K212" s="21" t="str">
        <f t="shared" si="19">IF(B212="","",IF(C212="N","N/A",IF(OR(C212&lt;&gt;"Y",COUNT(D212:G212)&lt;4),"",IF(OR(D212&lt;=0,E212&lt;0,F212&lt;0,G212&lt;0,E212&gt;D212,F212&gt;E212,G212&gt;F212,D212&lt;&gt;INT(D212),E212&lt;&gt;INT(E212),F212&lt;&gt;INT(F212),G212&lt;&gt;INT(G212)),"",G212/D212))))</f>
      </c>
      <c r="L212" s="15" t="str">
        <f t="shared" si="20">IF(B212="","",IF(C212="N",IF(H212="","Add approved N/A reference","N/A documented"),IF(C212&lt;&gt;"Y","Select Y / N",IF(COUNT(D212:G212)&lt;4,"Enter all four counts",IF(OR(D212&lt;0,E212&lt;0,F212&lt;0,G212&lt;0,E212&gt;D212,F212&gt;E212,G212&gt;F212,D212&lt;&gt;INT(D212),E212&lt;&gt;INT(E212),F212&lt;&gt;INT(F212),G212&lt;&gt;INT(G212)),"Review record counts",IF(D212=0,"Set expected count or justify zero scope","Counts consistent"))))))</f>
      </c>
    </row>
  </sheetData>
  <mergeCells count="13">
    <mergeCell ref="A9:F9"/>
    <mergeCell ref="G9:L9"/>
    <mergeCell ref="A6:F6"/>
    <mergeCell ref="G6:L6"/>
    <mergeCell ref="A7:F7"/>
    <mergeCell ref="G7:L7"/>
    <mergeCell ref="A8:L8"/>
    <mergeCell ref="A2:L2"/>
    <mergeCell ref="A3:L3"/>
    <mergeCell ref="A4:F4"/>
    <mergeCell ref="G4:L4"/>
    <mergeCell ref="A5:F5"/>
    <mergeCell ref="G5:L5"/>
  </mergeCells>
  <conditionalFormatting sqref="L13:L212">
    <cfRule type="expression" dxfId="5" priority="1">
      <formula>AND($B13&lt;&gt;"",L13&lt;&gt;"Counts consistent",L13&lt;&gt;"N/A documented")</formula>
    </cfRule>
  </conditionalFormatting>
  <dataValidations count="3">
    <dataValidation type="list" allowBlank="1" showErrorMessage="1" errorTitle="Select a listed value" error="Use the dropdown. Project lists can be adapted in Lists or H_Status_Codes." sqref="B10" ns2:uid="{00000000-0002-0000-0900-000000000000}">
      <formula1>PackageIDs</formula1>
    </dataValidation>
    <dataValidation type="list" allowBlank="1" showErrorMessage="1" errorTitle="Select a listed value" error="Use the dropdown. Project lists can be adapted in Lists or H_Status_Codes." sqref="C13:C212" ns2:uid="{00000000-0002-0000-0900-000001000000}">
      <formula1>RequiredChoices</formula1>
    </dataValidation>
    <dataValidation type="whole" operator="greaterThanOrEqual" allowBlank="1" showErrorMessage="1" errorTitle="Whole number required" error="Enter a whole number greater than or equal to zero." sqref="D13:G212" ns2:uid="{00000000-0002-0000-0900-000002000000}">
      <formula1>0</formula1>
    </dataValidation>
  </dataValidation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  <extLst>
    <ext uri="{78C0D931-6437-407d-A8EE-F0AAD7539E65}">
      <x14:conditionalFormattings>
        <x14:conditionalFormatting>
          <x14:cfRule type="expression" priority="2" id="{00000000-000E-0000-0900-000002000000}">
            <xm:f>AND($B13&lt;&gt;"",ISNUMBER($J13),ISNUMBER('00_Project'!$B$18),$J13&lt;'00_Project'!$B$18)</xm:f>
            <x14:dxf>
              <font>
                <color rgb="FF9C2A18"/>
              </font>
              <fill>
                <patternFill patternType="solid">
                  <bgColor rgb="FFFCE4D6"/>
                </patternFill>
              </fill>
            </x14:dxf>
          </x14:cfRule>
          <xm:sqref>J13:J212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A00-000000000000}">
  <sheetPr>
    <tabColor rgb="FF2B6E9F"/>
    <pageSetUpPr fitToPage="1"/>
  </sheetPr>
  <dimension ref="A1:G46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9" customWidth="1"/>
    <col min="2" max="2" width="80" customWidth="1"/>
    <col min="3" max="3" width="18" customWidth="1"/>
    <col min="4" max="5" width="43" customWidth="1"/>
    <col min="6" max="6" width="28" customWidth="1"/>
    <col min="7" max="7" width="20" customWidth="1"/>
  </cols>
  <sheetData>
    <row r="1" spans="1:7" ht="9.9499999999999993" customHeight="1">
      <c r="A1" s="1"/>
      <c r="B1" s="1"/>
      <c r="C1" s="1"/>
      <c r="D1" s="1"/>
      <c r="E1" s="1"/>
      <c r="F1" s="1"/>
      <c r="G1" s="1"/>
    </row>
    <row r="2" spans="1:7" ht="27.95" customHeight="1">
      <c r="A2" s="27" t="s">
        <v>251</v>
      </c>
      <c r="B2" s="27"/>
      <c r="C2" s="27"/>
      <c r="D2" s="27"/>
      <c r="E2" s="27"/>
      <c r="F2" s="27"/>
      <c r="G2" s="27"/>
    </row>
    <row r="3" spans="1:7" ht="20.100000000000001" customHeight="1">
      <c r="A3" s="28" t="s">
        <v>66</v>
      </c>
      <c r="B3" s="28"/>
      <c r="C3" s="28"/>
      <c r="D3" s="28"/>
      <c r="E3" s="28"/>
      <c r="F3" s="28"/>
      <c r="G3" s="28"/>
    </row>
    <row r="4" spans="1:7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/>
      <c r="D4" s="29" t="str">
        <f>"Project ID: "&amp;IF('00_Project'!$B$7="","",'00_Project'!$B$7)</f>
        <v xml:space="preserve">Project ID: </v>
      </c>
      <c r="E4" s="29"/>
      <c r="F4" s="29"/>
      <c r="G4" s="29"/>
    </row>
    <row r="5" spans="1:7" ht="26.1" customHeight="1">
      <c r="A5" s="29" t="str">
        <f>"Client / Owner: "&amp;IF('00_Project'!$B$8="","",'00_Project'!$B$8)</f>
        <v xml:space="preserve">Client / Owner: </v>
      </c>
      <c r="B5" s="29"/>
      <c r="C5" s="29"/>
      <c r="D5" s="29" t="str">
        <f>"Contractor: "&amp;IF('00_Project'!$B$9="","",'00_Project'!$B$9)</f>
        <v xml:space="preserve">Contractor: </v>
      </c>
      <c r="E5" s="29"/>
      <c r="F5" s="29"/>
      <c r="G5" s="29"/>
    </row>
    <row r="6" spans="1:7" ht="26.1" customHeight="1">
      <c r="A6" s="29" t="str">
        <f>"Project document ID: "&amp;IF('00_Project'!$B$11="","",'00_Project'!$B$11)</f>
        <v xml:space="preserve">Project document ID: </v>
      </c>
      <c r="B6" s="29"/>
      <c r="C6" s="29"/>
      <c r="D6" s="29" t="str">
        <f>"Project revision: "&amp;IF('00_Project'!$B$12="","",'00_Project'!$B$12)</f>
        <v xml:space="preserve">Project revision: </v>
      </c>
      <c r="E6" s="29"/>
      <c r="F6" s="29"/>
      <c r="G6" s="29"/>
    </row>
    <row r="7" spans="1:7" ht="24" customHeight="1">
      <c r="A7" s="30" t="str">
        <f>"Document status: "&amp;IF('00_Project'!$B$13="","",'00_Project'!$B$13)</f>
        <v>Document status: Draft</v>
      </c>
      <c r="B7" s="30"/>
      <c r="C7" s="30"/>
      <c r="D7" s="30" t="str">
        <f>"Issue date: "&amp;IF('00_Project'!$B$17="","",TEXT('00_Project'!$B$17,"dd-mmm-yyyy"))</f>
        <v xml:space="preserve">Issue date: </v>
      </c>
      <c r="E7" s="30"/>
      <c r="F7" s="30"/>
      <c r="G7" s="30"/>
    </row>
    <row r="8" spans="1:7" ht="44.1" customHeight="1">
      <c r="A8" s="25" t="s">
        <v>252</v>
      </c>
      <c r="B8" s="25"/>
      <c r="C8" s="25"/>
      <c r="D8" s="25"/>
      <c r="E8" s="25"/>
      <c r="F8" s="25"/>
      <c r="G8" s="25"/>
    </row>
    <row r="9" spans="1:7" ht="26.1" customHeight="1">
      <c r="A9" s="29" t="str">
        <f>"Prepared by: "&amp;IF('00_Project'!$B$14="","",'00_Project'!$B$14)</f>
        <v xml:space="preserve">Prepared by: </v>
      </c>
      <c r="B9" s="29"/>
      <c r="C9" s="29"/>
      <c r="D9" s="29" t="str">
        <f>"Reviewed by: "&amp;IF('00_Project'!$B$15="","",'00_Project'!$B$15)&amp;" / Approved by: "&amp;IF('00_Project'!$B$16="","",'00_Project'!$B$16)</f>
        <v xml:space="preserve">Reviewed by:  / Approved by: </v>
      </c>
      <c r="E9" s="29"/>
      <c r="F9" s="29"/>
      <c r="G9" s="29"/>
    </row>
    <row r="10" spans="1:7" ht="33.950000000000003" customHeight="1">
      <c r="A10" s="9" t="s">
        <v>101</v>
      </c>
      <c r="B10" s="18"/>
      <c r="C10" s="9"/>
      <c r="D10" s="9" t="s">
        <v>123</v>
      </c>
      <c r="E10" s="18"/>
      <c r="F10" s="9"/>
      <c r="G10" s="9"/>
    </row>
    <row r="11" spans="1:7" ht="9" customHeight="1">
      <c r="A11" s="1"/>
      <c r="B11" s="1"/>
      <c r="C11" s="1"/>
      <c r="D11" s="1"/>
      <c r="E11" s="1"/>
      <c r="F11" s="1"/>
      <c r="G11" s="1"/>
    </row>
    <row r="12" spans="1:7" ht="42" customHeight="1">
      <c r="A12" s="14" t="s">
        <v>124</v>
      </c>
      <c r="B12" s="14" t="s">
        <v>253</v>
      </c>
      <c r="C12" s="14" t="s">
        <v>254</v>
      </c>
      <c r="D12" s="14" t="s">
        <v>255</v>
      </c>
      <c r="E12" s="14" t="s">
        <v>256</v>
      </c>
      <c r="F12" s="14" t="s">
        <v>117</v>
      </c>
      <c r="G12" s="14" t="s">
        <v>257</v>
      </c>
    </row>
    <row r="13" spans="1:7" ht="48" customHeight="1">
      <c r="A13" s="9">
        <v>1</v>
      </c>
      <c r="B13" s="9" t="s">
        <v>258</v>
      </c>
      <c r="C13" s="13"/>
      <c r="D13" s="13"/>
      <c r="E13" s="13"/>
      <c r="F13" s="13"/>
      <c r="G13" s="17"/>
    </row>
    <row r="14" spans="1:7" ht="48" customHeight="1">
      <c r="A14" s="9">
        <v>2</v>
      </c>
      <c r="B14" s="9" t="s">
        <v>259</v>
      </c>
      <c r="C14" s="13"/>
      <c r="D14" s="13"/>
      <c r="E14" s="13"/>
      <c r="F14" s="13"/>
      <c r="G14" s="17"/>
    </row>
    <row r="15" spans="1:7" ht="48" customHeight="1">
      <c r="A15" s="9">
        <v>3</v>
      </c>
      <c r="B15" s="9" t="s">
        <v>260</v>
      </c>
      <c r="C15" s="13"/>
      <c r="D15" s="13"/>
      <c r="E15" s="13"/>
      <c r="F15" s="13"/>
      <c r="G15" s="17"/>
    </row>
    <row r="16" spans="1:7" ht="48" customHeight="1">
      <c r="A16" s="9">
        <v>4</v>
      </c>
      <c r="B16" s="9" t="s">
        <v>261</v>
      </c>
      <c r="C16" s="13"/>
      <c r="D16" s="13"/>
      <c r="E16" s="13"/>
      <c r="F16" s="13"/>
      <c r="G16" s="17"/>
    </row>
    <row r="17" spans="1:7" ht="48" customHeight="1">
      <c r="A17" s="9">
        <v>5</v>
      </c>
      <c r="B17" s="9" t="s">
        <v>262</v>
      </c>
      <c r="C17" s="13"/>
      <c r="D17" s="13"/>
      <c r="E17" s="13"/>
      <c r="F17" s="13"/>
      <c r="G17" s="17"/>
    </row>
    <row r="18" spans="1:7" ht="48" customHeight="1">
      <c r="A18" s="9">
        <v>6</v>
      </c>
      <c r="B18" s="9" t="s">
        <v>263</v>
      </c>
      <c r="C18" s="13"/>
      <c r="D18" s="13"/>
      <c r="E18" s="13"/>
      <c r="F18" s="13"/>
      <c r="G18" s="17"/>
    </row>
    <row r="19" spans="1:7" ht="66" customHeight="1">
      <c r="A19" s="9">
        <v>7</v>
      </c>
      <c r="B19" s="9" t="s">
        <v>264</v>
      </c>
      <c r="C19" s="13"/>
      <c r="D19" s="13"/>
      <c r="E19" s="13"/>
      <c r="F19" s="13"/>
      <c r="G19" s="17"/>
    </row>
    <row r="20" spans="1:7" ht="66" customHeight="1">
      <c r="A20" s="9">
        <v>8</v>
      </c>
      <c r="B20" s="9" t="s">
        <v>265</v>
      </c>
      <c r="C20" s="13"/>
      <c r="D20" s="13"/>
      <c r="E20" s="13"/>
      <c r="F20" s="13"/>
      <c r="G20" s="17"/>
    </row>
    <row r="21" spans="1:7" ht="90" customHeight="1">
      <c r="A21" s="9">
        <v>9</v>
      </c>
      <c r="B21" s="9" t="str">
        <v>Calibration / verification valid at the test date; any known subsequent equipment deficiencies assessed for impact on the results, with required actions completed or formally dispositioned against the applicable milestone criteria (Section 11.3)</v>
      </c>
      <c r="C21" s="13"/>
      <c r="D21" s="13"/>
      <c r="E21" s="13"/>
      <c r="F21" s="13"/>
      <c r="G21" s="17"/>
    </row>
    <row r="22" spans="1:7" ht="48" customHeight="1">
      <c r="A22" s="9">
        <v>10</v>
      </c>
      <c r="B22" s="9" t="s">
        <v>267</v>
      </c>
      <c r="C22" s="13"/>
      <c r="D22" s="13"/>
      <c r="E22" s="13"/>
      <c r="F22" s="13"/>
      <c r="G22" s="17"/>
    </row>
    <row r="23" spans="1:7" ht="48" customHeight="1">
      <c r="A23" s="9">
        <v>11</v>
      </c>
      <c r="B23" s="9" t="s">
        <v>268</v>
      </c>
      <c r="C23" s="13"/>
      <c r="D23" s="13"/>
      <c r="E23" s="13"/>
      <c r="F23" s="13"/>
      <c r="G23" s="17"/>
    </row>
    <row r="24" spans="1:7" ht="66" customHeight="1">
      <c r="A24" s="9">
        <v>12</v>
      </c>
      <c r="B24" s="9" t="s">
        <v>269</v>
      </c>
      <c r="C24" s="13"/>
      <c r="D24" s="13"/>
      <c r="E24" s="13"/>
      <c r="F24" s="13"/>
      <c r="G24" s="17"/>
    </row>
    <row r="25" spans="1:7" ht="48" customHeight="1">
      <c r="A25" s="9">
        <v>13</v>
      </c>
      <c r="B25" s="9" t="s">
        <v>270</v>
      </c>
      <c r="C25" s="13"/>
      <c r="D25" s="13"/>
      <c r="E25" s="13"/>
      <c r="F25" s="13"/>
      <c r="G25" s="17"/>
    </row>
    <row r="26" spans="1:7" ht="48" customHeight="1">
      <c r="A26" s="9">
        <v>14</v>
      </c>
      <c r="B26" s="9" t="s">
        <v>271</v>
      </c>
      <c r="C26" s="13"/>
      <c r="D26" s="13"/>
      <c r="E26" s="13"/>
      <c r="F26" s="13"/>
      <c r="G26" s="17"/>
    </row>
    <row r="27" spans="1:7" ht="66" customHeight="1">
      <c r="A27" s="9">
        <v>15</v>
      </c>
      <c r="B27" s="9" t="s">
        <v>272</v>
      </c>
      <c r="C27" s="13"/>
      <c r="D27" s="13"/>
      <c r="E27" s="13"/>
      <c r="F27" s="13"/>
      <c r="G27" s="17"/>
    </row>
    <row r="28" spans="1:7" ht="48" customHeight="1">
      <c r="A28" s="9">
        <v>16</v>
      </c>
      <c r="B28" s="9" t="s">
        <v>273</v>
      </c>
      <c r="C28" s="13"/>
      <c r="D28" s="13"/>
      <c r="E28" s="13"/>
      <c r="F28" s="13"/>
      <c r="G28" s="17"/>
    </row>
    <row r="29" spans="1:7" ht="48" customHeight="1">
      <c r="A29" s="9">
        <v>17</v>
      </c>
      <c r="B29" s="9" t="s">
        <v>274</v>
      </c>
      <c r="C29" s="13"/>
      <c r="D29" s="13"/>
      <c r="E29" s="13"/>
      <c r="F29" s="13"/>
      <c r="G29" s="17"/>
    </row>
    <row r="30" spans="1:7" ht="48" customHeight="1">
      <c r="A30" s="9">
        <v>18</v>
      </c>
      <c r="B30" s="9" t="s">
        <v>275</v>
      </c>
      <c r="C30" s="13"/>
      <c r="D30" s="13"/>
      <c r="E30" s="13"/>
      <c r="F30" s="13"/>
      <c r="G30" s="17"/>
    </row>
    <row r="31" spans="1:7" ht="48" customHeight="1">
      <c r="A31" s="9">
        <v>19</v>
      </c>
      <c r="B31" s="9" t="s">
        <v>276</v>
      </c>
      <c r="C31" s="13"/>
      <c r="D31" s="13"/>
      <c r="E31" s="13"/>
      <c r="F31" s="13"/>
      <c r="G31" s="17"/>
    </row>
    <row r="32" spans="1:7" ht="48" customHeight="1">
      <c r="A32" s="9">
        <v>20</v>
      </c>
      <c r="B32" s="9" t="s">
        <v>277</v>
      </c>
      <c r="C32" s="13"/>
      <c r="D32" s="13"/>
      <c r="E32" s="13"/>
      <c r="F32" s="13"/>
      <c r="G32" s="17"/>
    </row>
    <row r="33" spans="1:7" ht="48" customHeight="1">
      <c r="A33" s="9">
        <v>21</v>
      </c>
      <c r="B33" s="9" t="s">
        <v>278</v>
      </c>
      <c r="C33" s="13"/>
      <c r="D33" s="13"/>
      <c r="E33" s="13"/>
      <c r="F33" s="13"/>
      <c r="G33" s="17"/>
    </row>
    <row r="34" spans="1:7" ht="48" customHeight="1">
      <c r="A34" s="9">
        <v>22</v>
      </c>
      <c r="B34" s="9" t="s">
        <v>279</v>
      </c>
      <c r="C34" s="13"/>
      <c r="D34" s="13"/>
      <c r="E34" s="13"/>
      <c r="F34" s="13"/>
      <c r="G34" s="17"/>
    </row>
    <row r="35" spans="1:7" ht="24" customHeight="1">
      <c r="A35" s="1"/>
      <c r="B35" s="1"/>
      <c r="C35" s="1"/>
      <c r="D35" s="1"/>
      <c r="E35" s="1"/>
      <c r="F35" s="1"/>
      <c r="G35" s="1"/>
    </row>
    <row r="36" spans="1:7" ht="24" customHeight="1">
      <c r="A36" s="1"/>
      <c r="B36" s="1"/>
      <c r="C36" s="1"/>
      <c r="D36" s="1"/>
      <c r="E36" s="1"/>
      <c r="F36" s="1"/>
      <c r="G36" s="1"/>
    </row>
    <row r="37" spans="1:7" ht="39.950000000000003" customHeight="1">
      <c r="A37" s="1"/>
      <c r="B37" s="2" t="s">
        <v>280</v>
      </c>
      <c r="C37" s="2" t="s">
        <v>281</v>
      </c>
      <c r="D37" s="2" t="s">
        <v>282</v>
      </c>
      <c r="E37" s="2" t="s">
        <v>26</v>
      </c>
      <c r="F37" s="2" t="s">
        <v>283</v>
      </c>
      <c r="G37" s="2" t="s">
        <v>284</v>
      </c>
    </row>
    <row r="38" spans="1:7" ht="24" customHeight="1">
      <c r="A38" s="1"/>
      <c r="B38" s="1">
        <f>COUNTIFS(C13:C34,"Yes")+COUNTIFS(C13:C34,"No")+COUNTIFS(C13:C34,"N/A")</f>
        <v>0</v>
      </c>
      <c r="C38" s="1">
        <f>COUNTIFS(C13:C34,"No")</f>
        <v>0</v>
      </c>
      <c r="D38" s="3" t="s">
        <v>285</v>
      </c>
      <c r="E38" s="3"/>
      <c r="F38" s="5"/>
      <c r="G38" s="3"/>
    </row>
    <row r="39" spans="1:7" ht="24" customHeight="1">
      <c r="A39" s="1"/>
      <c r="B39" s="1"/>
      <c r="C39" s="1"/>
      <c r="D39" s="1"/>
      <c r="E39" s="1"/>
      <c r="F39" s="1"/>
      <c r="G39" s="1"/>
    </row>
    <row r="40" spans="1:7" ht="24" customHeight="1">
      <c r="A40" s="1"/>
      <c r="B40" s="1" t="s">
        <v>286</v>
      </c>
      <c r="C40" s="1"/>
      <c r="D40" s="31"/>
      <c r="E40" s="31"/>
      <c r="F40" s="31"/>
      <c r="G40" s="31"/>
    </row>
    <row r="41" spans="1:7" ht="24" customHeight="1">
      <c r="A41" s="1"/>
      <c r="B41" s="1"/>
      <c r="C41" s="1"/>
      <c r="D41" s="31"/>
      <c r="E41" s="31"/>
      <c r="F41" s="31"/>
      <c r="G41" s="31"/>
    </row>
    <row r="42" spans="1:7" ht="24" customHeight="1">
      <c r="A42" s="1"/>
      <c r="B42" s="1"/>
      <c r="C42" s="1"/>
      <c r="D42" s="1"/>
      <c r="E42" s="1"/>
      <c r="F42" s="1"/>
      <c r="G42" s="1"/>
    </row>
    <row r="43" spans="1:7" ht="24" customHeight="1">
      <c r="A43" s="1"/>
      <c r="B43" s="25" t="s">
        <v>287</v>
      </c>
      <c r="C43" s="25"/>
      <c r="D43" s="25"/>
      <c r="E43" s="25"/>
      <c r="F43" s="25"/>
      <c r="G43" s="25"/>
    </row>
    <row r="44" spans="1:7" ht="24" customHeight="1">
      <c r="A44" s="1"/>
      <c r="B44" s="25"/>
      <c r="C44" s="25"/>
      <c r="D44" s="25"/>
      <c r="E44" s="25"/>
      <c r="F44" s="25"/>
      <c r="G44" s="25"/>
    </row>
    <row r="45" spans="1:7" ht="24" customHeight="1">
      <c r="A45" s="1"/>
      <c r="B45" s="1"/>
      <c r="C45" s="1"/>
      <c r="D45" s="1"/>
      <c r="E45" s="1"/>
      <c r="F45" s="1"/>
      <c r="G45" s="1"/>
    </row>
    <row r="46" spans="1:7" ht="24" customHeight="1">
      <c r="A46" s="1"/>
      <c r="B46" s="1"/>
      <c r="C46" s="1"/>
      <c r="D46" s="1"/>
      <c r="E46" s="1"/>
      <c r="F46" s="1"/>
      <c r="G46" s="1"/>
    </row>
  </sheetData>
  <mergeCells count="15">
    <mergeCell ref="A9:C9"/>
    <mergeCell ref="D9:G9"/>
    <mergeCell ref="D40:G41"/>
    <mergeCell ref="B43:G44"/>
    <mergeCell ref="A6:C6"/>
    <mergeCell ref="D6:G6"/>
    <mergeCell ref="A7:C7"/>
    <mergeCell ref="D7:G7"/>
    <mergeCell ref="A8:G8"/>
    <mergeCell ref="A2:G2"/>
    <mergeCell ref="A3:G3"/>
    <mergeCell ref="A4:C4"/>
    <mergeCell ref="D4:G4"/>
    <mergeCell ref="A5:C5"/>
    <mergeCell ref="D5:G5"/>
  </mergeCells>
  <conditionalFormatting sqref="C13:C34">
    <cfRule type="cellIs" dxfId="4" priority="1" operator="equal">
      <formula>"No"</formula>
    </cfRule>
    <cfRule type="cellIs" dxfId="3" priority="2" operator="equal">
      <formula>"Yes"</formula>
    </cfRule>
  </conditionalFormatting>
  <conditionalFormatting sqref="D13:D34">
    <cfRule type="expression" dxfId="2" priority="3">
      <formula>AND($C13="N/A",D13="")</formula>
    </cfRule>
  </conditionalFormatting>
  <dataValidations count="3">
    <dataValidation type="list" allowBlank="1" showErrorMessage="1" errorTitle="Select a listed value" error="Use the dropdown. Project lists can be adapted in Lists or H_Status_Codes." sqref="B10" ns2:uid="{00000000-0002-0000-0A00-000000000000}">
      <formula1>PackageIDs</formula1>
    </dataValidation>
    <dataValidation type="list" allowBlank="1" showErrorMessage="1" errorTitle="Select a listed value" error="Use the dropdown. Project lists can be adapted in Lists or H_Status_Codes." sqref="C13:C34" ns2:uid="{00000000-0002-0000-0A00-000001000000}">
      <formula1>ReadinessResponses</formula1>
    </dataValidation>
    <dataValidation type="list" allowBlank="1" showErrorMessage="1" errorTitle="Select a listed value" error="Use the dropdown. Project lists can be adapted in Lists or H_Status_Codes." sqref="D38" ns2:uid="{00000000-0002-0000-0A00-000002000000}">
      <formula1>ReadinessDecisions</formula1>
    </dataValidation>
  </dataValidation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B00-000000000000}">
  <sheetPr>
    <tabColor rgb="FF2B6E9F"/>
    <pageSetUpPr fitToPage="1"/>
  </sheetPr>
  <dimension ref="A1:E46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14" customWidth="1"/>
    <col min="2" max="2" width="31" customWidth="1"/>
    <col min="3" max="3" width="100" customWidth="1"/>
    <col min="4" max="4" width="21" customWidth="1"/>
    <col min="5" max="5" width="34" customWidth="1"/>
  </cols>
  <sheetData>
    <row r="1" spans="1:5" ht="9.9499999999999993" customHeight="1">
      <c r="A1" s="1"/>
      <c r="B1" s="1"/>
      <c r="C1" s="1"/>
      <c r="D1" s="1"/>
      <c r="E1" s="1"/>
    </row>
    <row r="2" spans="1:5" ht="27.95" customHeight="1">
      <c r="A2" s="27" t="s">
        <v>288</v>
      </c>
      <c r="B2" s="27"/>
      <c r="C2" s="27"/>
      <c r="D2" s="27"/>
      <c r="E2" s="27"/>
    </row>
    <row r="3" spans="1:5" ht="20.100000000000001" customHeight="1">
      <c r="A3" s="28" t="s">
        <v>66</v>
      </c>
      <c r="B3" s="28"/>
      <c r="C3" s="28"/>
      <c r="D3" s="28"/>
      <c r="E3" s="28"/>
    </row>
    <row r="4" spans="1:5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 t="str">
        <f>"Project ID: "&amp;IF('00_Project'!$B$7="","",'00_Project'!$B$7)</f>
        <v xml:space="preserve">Project ID: </v>
      </c>
      <c r="D4" s="29"/>
      <c r="E4" s="29"/>
    </row>
    <row r="5" spans="1:5" ht="26.1" customHeight="1">
      <c r="A5" s="29" t="str">
        <f>"Client / Owner: "&amp;IF('00_Project'!$B$8="","",'00_Project'!$B$8)</f>
        <v xml:space="preserve">Client / Owner: </v>
      </c>
      <c r="B5" s="29"/>
      <c r="C5" s="29" t="str">
        <f>"Contractor: "&amp;IF('00_Project'!$B$9="","",'00_Project'!$B$9)</f>
        <v xml:space="preserve">Contractor: </v>
      </c>
      <c r="D5" s="29"/>
      <c r="E5" s="29"/>
    </row>
    <row r="6" spans="1:5" ht="26.1" customHeight="1">
      <c r="A6" s="29" t="str">
        <f>"Project document ID: "&amp;IF('00_Project'!$B$11="","",'00_Project'!$B$11)</f>
        <v xml:space="preserve">Project document ID: </v>
      </c>
      <c r="B6" s="29"/>
      <c r="C6" s="29" t="str">
        <f>"Project revision: "&amp;IF('00_Project'!$B$12="","",'00_Project'!$B$12)</f>
        <v xml:space="preserve">Project revision: </v>
      </c>
      <c r="D6" s="29"/>
      <c r="E6" s="29"/>
    </row>
    <row r="7" spans="1:5" ht="24" customHeight="1">
      <c r="A7" s="30" t="str">
        <f>"Document status: "&amp;IF('00_Project'!$B$13="","",'00_Project'!$B$13)</f>
        <v>Document status: Draft</v>
      </c>
      <c r="B7" s="30"/>
      <c r="C7" s="30" t="str">
        <f>"Issue date: "&amp;IF('00_Project'!$B$17="","",TEXT('00_Project'!$B$17,"dd-mmm-yyyy"))</f>
        <v xml:space="preserve">Issue date: </v>
      </c>
      <c r="D7" s="30"/>
      <c r="E7" s="30"/>
    </row>
    <row r="8" spans="1:5" ht="44.1" customHeight="1">
      <c r="A8" s="25" t="s">
        <v>289</v>
      </c>
      <c r="B8" s="25"/>
      <c r="C8" s="25"/>
      <c r="D8" s="25"/>
      <c r="E8" s="25"/>
    </row>
    <row r="9" spans="1:5" ht="26.1" customHeight="1">
      <c r="A9" s="29" t="str">
        <f>"Prepared by: "&amp;IF('00_Project'!$B$14="","",'00_Project'!$B$14)</f>
        <v xml:space="preserve">Prepared by: </v>
      </c>
      <c r="B9" s="29"/>
      <c r="C9" s="29" t="str">
        <f>"Reviewed by: "&amp;IF('00_Project'!$B$15="","",'00_Project'!$B$15)&amp;" / Approved by: "&amp;IF('00_Project'!$B$16="","",'00_Project'!$B$16)</f>
        <v xml:space="preserve">Reviewed by:  / Approved by: </v>
      </c>
      <c r="D9" s="29"/>
      <c r="E9" s="29"/>
    </row>
    <row r="10" spans="1:5" ht="24" customHeight="1">
      <c r="A10" s="1"/>
      <c r="B10" s="1"/>
      <c r="C10" s="1"/>
      <c r="D10" s="1"/>
      <c r="E10" s="1"/>
    </row>
    <row r="11" spans="1:5" ht="9" customHeight="1">
      <c r="A11" s="1"/>
      <c r="B11" s="1"/>
      <c r="C11" s="1"/>
      <c r="D11" s="1"/>
      <c r="E11" s="1"/>
    </row>
    <row r="12" spans="1:5" ht="42" customHeight="1">
      <c r="A12" s="14" t="s">
        <v>290</v>
      </c>
      <c r="B12" s="14" t="s">
        <v>291</v>
      </c>
      <c r="C12" s="14" t="s">
        <v>292</v>
      </c>
      <c r="D12" s="14" t="s">
        <v>293</v>
      </c>
      <c r="E12" s="14" t="s">
        <v>294</v>
      </c>
    </row>
    <row r="13" spans="1:5" ht="42" customHeight="1">
      <c r="A13" s="9" t="s">
        <v>295</v>
      </c>
      <c r="B13" s="9" t="s">
        <v>296</v>
      </c>
      <c r="C13" s="9" t="s">
        <v>297</v>
      </c>
      <c r="D13" s="18" t="s">
        <v>295</v>
      </c>
      <c r="E13" s="18" t="s">
        <v>296</v>
      </c>
    </row>
    <row r="14" spans="1:5" ht="42" customHeight="1">
      <c r="A14" s="9" t="s">
        <v>298</v>
      </c>
      <c r="B14" s="9" t="s">
        <v>299</v>
      </c>
      <c r="C14" s="9" t="s">
        <v>300</v>
      </c>
      <c r="D14" s="18" t="s">
        <v>298</v>
      </c>
      <c r="E14" s="18" t="s">
        <v>299</v>
      </c>
    </row>
    <row r="15" spans="1:5" ht="42" customHeight="1">
      <c r="A15" s="9" t="s">
        <v>301</v>
      </c>
      <c r="B15" s="9" t="s">
        <v>302</v>
      </c>
      <c r="C15" s="9" t="s">
        <v>303</v>
      </c>
      <c r="D15" s="18" t="s">
        <v>301</v>
      </c>
      <c r="E15" s="18" t="s">
        <v>302</v>
      </c>
    </row>
    <row r="16" spans="1:5" ht="42" customHeight="1">
      <c r="A16" s="9" t="s">
        <v>304</v>
      </c>
      <c r="B16" s="9" t="s">
        <v>305</v>
      </c>
      <c r="C16" s="9" t="s">
        <v>306</v>
      </c>
      <c r="D16" s="18" t="s">
        <v>304</v>
      </c>
      <c r="E16" s="18" t="s">
        <v>305</v>
      </c>
    </row>
    <row r="17" spans="1:5" ht="42" customHeight="1">
      <c r="A17" s="9" t="s">
        <v>307</v>
      </c>
      <c r="B17" s="9" t="s">
        <v>308</v>
      </c>
      <c r="C17" s="9" t="s">
        <v>309</v>
      </c>
      <c r="D17" s="18" t="s">
        <v>307</v>
      </c>
      <c r="E17" s="18" t="s">
        <v>308</v>
      </c>
    </row>
    <row r="18" spans="1:5" ht="42" customHeight="1">
      <c r="A18" s="9" t="s">
        <v>310</v>
      </c>
      <c r="B18" s="9" t="s">
        <v>311</v>
      </c>
      <c r="C18" s="9" t="s">
        <v>312</v>
      </c>
      <c r="D18" s="18" t="s">
        <v>310</v>
      </c>
      <c r="E18" s="18" t="s">
        <v>311</v>
      </c>
    </row>
    <row r="19" spans="1:5" ht="42" customHeight="1">
      <c r="A19" s="9" t="s">
        <v>313</v>
      </c>
      <c r="B19" s="9" t="s">
        <v>314</v>
      </c>
      <c r="C19" s="9" t="s">
        <v>315</v>
      </c>
      <c r="D19" s="18" t="s">
        <v>313</v>
      </c>
      <c r="E19" s="18" t="s">
        <v>314</v>
      </c>
    </row>
    <row r="20" spans="1:5" ht="42" customHeight="1">
      <c r="A20" s="9" t="s">
        <v>316</v>
      </c>
      <c r="B20" s="9" t="s">
        <v>317</v>
      </c>
      <c r="C20" s="9" t="s">
        <v>318</v>
      </c>
      <c r="D20" s="18" t="s">
        <v>316</v>
      </c>
      <c r="E20" s="18" t="s">
        <v>317</v>
      </c>
    </row>
    <row r="21" spans="1:5" ht="42" customHeight="1">
      <c r="A21" s="9" t="s">
        <v>319</v>
      </c>
      <c r="B21" s="9" t="s">
        <v>245</v>
      </c>
      <c r="C21" s="9" t="s">
        <v>320</v>
      </c>
      <c r="D21" s="18" t="s">
        <v>319</v>
      </c>
      <c r="E21" s="18" t="s">
        <v>245</v>
      </c>
    </row>
    <row r="22" spans="1:5" ht="42" customHeight="1">
      <c r="A22" s="9" t="s">
        <v>321</v>
      </c>
      <c r="B22" s="9" t="s">
        <v>322</v>
      </c>
      <c r="C22" s="9" t="s">
        <v>323</v>
      </c>
      <c r="D22" s="18" t="s">
        <v>321</v>
      </c>
      <c r="E22" s="18" t="s">
        <v>322</v>
      </c>
    </row>
    <row r="23" spans="1:5" ht="42" customHeight="1">
      <c r="A23" s="9" t="s">
        <v>324</v>
      </c>
      <c r="B23" s="9" t="s">
        <v>325</v>
      </c>
      <c r="C23" s="9" t="s">
        <v>326</v>
      </c>
      <c r="D23" s="18" t="s">
        <v>324</v>
      </c>
      <c r="E23" s="18" t="s">
        <v>325</v>
      </c>
    </row>
    <row r="24" spans="1:5" ht="42" customHeight="1">
      <c r="A24" s="9" t="s">
        <v>327</v>
      </c>
      <c r="B24" s="9" t="s">
        <v>328</v>
      </c>
      <c r="C24" s="9" t="s">
        <v>329</v>
      </c>
      <c r="D24" s="18" t="s">
        <v>327</v>
      </c>
      <c r="E24" s="18" t="s">
        <v>328</v>
      </c>
    </row>
    <row r="25" spans="1:5" ht="42" customHeight="1">
      <c r="A25" s="9" t="s">
        <v>330</v>
      </c>
      <c r="B25" s="9" t="s">
        <v>331</v>
      </c>
      <c r="C25" s="9" t="s">
        <v>332</v>
      </c>
      <c r="D25" s="18" t="s">
        <v>330</v>
      </c>
      <c r="E25" s="18" t="s">
        <v>331</v>
      </c>
    </row>
    <row r="26" spans="1:5" ht="42" customHeight="1">
      <c r="A26" s="9" t="s">
        <v>333</v>
      </c>
      <c r="B26" s="9" t="s">
        <v>334</v>
      </c>
      <c r="C26" s="9" t="s">
        <v>335</v>
      </c>
      <c r="D26" s="18" t="s">
        <v>333</v>
      </c>
      <c r="E26" s="18" t="s">
        <v>334</v>
      </c>
    </row>
    <row r="27" spans="1:5" ht="24" customHeight="1">
      <c r="A27" s="13"/>
      <c r="B27" s="13"/>
      <c r="C27" s="13"/>
      <c r="D27" s="18"/>
      <c r="E27" s="18"/>
    </row>
    <row r="28" spans="1:5" ht="24" customHeight="1">
      <c r="A28" s="13"/>
      <c r="B28" s="13"/>
      <c r="C28" s="13"/>
      <c r="D28" s="18"/>
      <c r="E28" s="18"/>
    </row>
    <row r="29" spans="1:5" ht="24" customHeight="1">
      <c r="A29" s="13"/>
      <c r="B29" s="13"/>
      <c r="C29" s="13"/>
      <c r="D29" s="18"/>
      <c r="E29" s="18"/>
    </row>
    <row r="30" spans="1:5" ht="24" customHeight="1">
      <c r="A30" s="13"/>
      <c r="B30" s="13"/>
      <c r="C30" s="13"/>
      <c r="D30" s="18"/>
      <c r="E30" s="18"/>
    </row>
    <row r="31" spans="1:5" ht="24" customHeight="1">
      <c r="A31" s="13"/>
      <c r="B31" s="13"/>
      <c r="C31" s="13"/>
      <c r="D31" s="18"/>
      <c r="E31" s="18"/>
    </row>
    <row r="32" spans="1:5" ht="24" customHeight="1">
      <c r="A32" s="13"/>
      <c r="B32" s="13"/>
      <c r="C32" s="13"/>
      <c r="D32" s="18"/>
      <c r="E32" s="18"/>
    </row>
    <row r="33" spans="1:5" ht="24" customHeight="1">
      <c r="A33" s="13"/>
      <c r="B33" s="13"/>
      <c r="C33" s="13"/>
      <c r="D33" s="18"/>
      <c r="E33" s="18"/>
    </row>
    <row r="34" spans="1:5" ht="24" customHeight="1">
      <c r="A34" s="13"/>
      <c r="B34" s="13"/>
      <c r="C34" s="13"/>
      <c r="D34" s="18"/>
      <c r="E34" s="18"/>
    </row>
    <row r="35" spans="1:5" ht="24" customHeight="1">
      <c r="A35" s="13"/>
      <c r="B35" s="13"/>
      <c r="C35" s="13"/>
      <c r="D35" s="18"/>
      <c r="E35" s="18"/>
    </row>
    <row r="36" spans="1:5" ht="24" customHeight="1">
      <c r="A36" s="13"/>
      <c r="B36" s="13"/>
      <c r="C36" s="13"/>
      <c r="D36" s="18"/>
      <c r="E36" s="18"/>
    </row>
    <row r="37" spans="1:5" ht="24" customHeight="1">
      <c r="A37" s="13"/>
      <c r="B37" s="13"/>
      <c r="C37" s="13"/>
      <c r="D37" s="18"/>
      <c r="E37" s="18"/>
    </row>
    <row r="38" spans="1:5" ht="24" customHeight="1">
      <c r="A38" s="13"/>
      <c r="B38" s="13"/>
      <c r="C38" s="13"/>
      <c r="D38" s="18"/>
      <c r="E38" s="18"/>
    </row>
    <row r="39" spans="1:5" ht="24" customHeight="1">
      <c r="A39" s="13"/>
      <c r="B39" s="13"/>
      <c r="C39" s="13"/>
      <c r="D39" s="18"/>
      <c r="E39" s="18"/>
    </row>
    <row r="40" spans="1:5" ht="24" customHeight="1">
      <c r="A40" s="13"/>
      <c r="B40" s="13"/>
      <c r="C40" s="13"/>
      <c r="D40" s="18"/>
      <c r="E40" s="18"/>
    </row>
    <row r="41" spans="1:5" ht="24" customHeight="1">
      <c r="A41" s="13"/>
      <c r="B41" s="13"/>
      <c r="C41" s="13"/>
      <c r="D41" s="18"/>
      <c r="E41" s="18"/>
    </row>
    <row r="42" spans="1:5" ht="24" customHeight="1">
      <c r="A42" s="13"/>
      <c r="B42" s="13"/>
      <c r="C42" s="13"/>
      <c r="D42" s="18"/>
      <c r="E42" s="18"/>
    </row>
    <row r="43" spans="1:5" ht="24" customHeight="1">
      <c r="A43" s="13"/>
      <c r="B43" s="13"/>
      <c r="C43" s="13"/>
      <c r="D43" s="18"/>
      <c r="E43" s="18"/>
    </row>
    <row r="44" spans="1:5" ht="24" customHeight="1">
      <c r="A44" s="13"/>
      <c r="B44" s="13"/>
      <c r="C44" s="13"/>
      <c r="D44" s="18"/>
      <c r="E44" s="18"/>
    </row>
    <row r="45" spans="1:5" ht="24" customHeight="1">
      <c r="A45" s="13"/>
      <c r="B45" s="13"/>
      <c r="C45" s="13"/>
      <c r="D45" s="18"/>
      <c r="E45" s="18"/>
    </row>
    <row r="46" spans="1:5" ht="24" customHeight="1">
      <c r="A46" s="13"/>
      <c r="B46" s="13"/>
      <c r="C46" s="13"/>
      <c r="D46" s="18"/>
      <c r="E46" s="18"/>
    </row>
  </sheetData>
  <mergeCells count="13">
    <mergeCell ref="A9:B9"/>
    <mergeCell ref="C9:E9"/>
    <mergeCell ref="A6:B6"/>
    <mergeCell ref="C6:E6"/>
    <mergeCell ref="A7:B7"/>
    <mergeCell ref="C7:E7"/>
    <mergeCell ref="A8:E8"/>
    <mergeCell ref="A2:E2"/>
    <mergeCell ref="A3:E3"/>
    <mergeCell ref="A4:B4"/>
    <mergeCell ref="C4:E4"/>
    <mergeCell ref="A5:B5"/>
    <mergeCell ref="C5:E5"/>
  </mergeCells>
  <conditionalFormatting sqref="E13:E46">
    <cfRule type="expression" dxfId="1" priority="1">
      <formula>AND(E13&lt;&gt;"",COUNTIFS($E$13:$E$46,E13)&gt;1)</formula>
    </cfRule>
  </conditionalFormatting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13.xml><?xml version="1.0" encoding="utf-8"?>
<worksheet xmlns="http://schemas.openxmlformats.org/spreadsheetml/2006/main" xmlns:ns1="http://schemas.openxmlformats.org/markup-compatibility/2006" xmlns:ns2="http://schemas.microsoft.com/office/spreadsheetml/2014/revision" xmlns:r="http://schemas.openxmlformats.org/officeDocument/2006/relationships" ns1:Ignorable="x14ac xr xr2 xr3" ns2:uid="{00000000-0001-0000-0C00-000000000000}">
  <sheetPr>
    <tabColor rgb="FF2B6E9F"/>
    <pageSetUpPr fitToPage="1"/>
  </sheetPr>
  <dimension ref="A1:L35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" width="43" customWidth="1"/>
    <col min="2" max="2" width="19" customWidth="1"/>
    <col min="3" max="3" width="20" customWidth="1"/>
    <col min="4" max="4" width="15" customWidth="1"/>
    <col min="5" max="5" width="21" customWidth="1"/>
    <col min="6" max="6" width="23" customWidth="1"/>
    <col min="7" max="7" width="21" customWidth="1"/>
    <col min="8" max="8" width="20" customWidth="1"/>
    <col min="9" max="9" width="21" customWidth="1"/>
    <col min="10" max="11" width="12" customWidth="1"/>
    <col min="12" max="12" width="34" customWidth="1"/>
  </cols>
  <sheetData>
    <row r="1" spans="1:12" ht="9.949999999999999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7.95" customHeight="1">
      <c r="A2" s="27" t="s">
        <v>336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0.100000000000001" customHeight="1">
      <c r="A3" s="28" t="s">
        <v>66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/>
      <c r="D4" s="29"/>
      <c r="E4" s="29"/>
      <c r="F4" s="29"/>
      <c r="G4" s="29" t="str">
        <f>"Project ID: "&amp;IF('00_Project'!$B$7="","",'00_Project'!$B$7)</f>
        <v xml:space="preserve">Project ID: </v>
      </c>
      <c r="H4" s="29"/>
      <c r="I4" s="29"/>
      <c r="J4" s="29"/>
      <c r="K4" s="29"/>
      <c r="L4" s="29"/>
    </row>
    <row r="5" spans="1:12" ht="26.1" customHeight="1">
      <c r="A5" s="29" t="str">
        <f>"Client / Owner: "&amp;IF('00_Project'!$B$8="","",'00_Project'!$B$8)</f>
        <v xml:space="preserve">Client / Owner: </v>
      </c>
      <c r="B5" s="29"/>
      <c r="C5" s="29"/>
      <c r="D5" s="29"/>
      <c r="E5" s="29"/>
      <c r="F5" s="29"/>
      <c r="G5" s="29" t="str">
        <f>"Contractor: "&amp;IF('00_Project'!$B$9="","",'00_Project'!$B$9)</f>
        <v xml:space="preserve">Contractor: </v>
      </c>
      <c r="H5" s="29"/>
      <c r="I5" s="29"/>
      <c r="J5" s="29"/>
      <c r="K5" s="29"/>
      <c r="L5" s="29"/>
    </row>
    <row r="6" spans="1:12" ht="26.1" customHeight="1">
      <c r="A6" s="29" t="str">
        <f>"Project document ID: "&amp;IF('00_Project'!$B$11="","",'00_Project'!$B$11)</f>
        <v xml:space="preserve">Project document ID: </v>
      </c>
      <c r="B6" s="29"/>
      <c r="C6" s="29"/>
      <c r="D6" s="29"/>
      <c r="E6" s="29"/>
      <c r="F6" s="29"/>
      <c r="G6" s="29" t="str">
        <f>"Project revision: "&amp;IF('00_Project'!$B$12="","",'00_Project'!$B$12)</f>
        <v xml:space="preserve">Project revision: </v>
      </c>
      <c r="H6" s="29"/>
      <c r="I6" s="29"/>
      <c r="J6" s="29"/>
      <c r="K6" s="29"/>
      <c r="L6" s="29"/>
    </row>
    <row r="7" spans="1:12" ht="24" customHeight="1">
      <c r="A7" s="30" t="str">
        <f>"Document status: "&amp;IF('00_Project'!$B$13="","",'00_Project'!$B$13)</f>
        <v>Document status: Draft</v>
      </c>
      <c r="B7" s="30"/>
      <c r="C7" s="30"/>
      <c r="D7" s="30"/>
      <c r="E7" s="30"/>
      <c r="F7" s="30"/>
      <c r="G7" s="30" t="str">
        <f>"Issue date: "&amp;IF('00_Project'!$B$17="","",TEXT('00_Project'!$B$17,"dd-mmm-yyyy"))</f>
        <v xml:space="preserve">Issue date: </v>
      </c>
      <c r="H7" s="30"/>
      <c r="I7" s="30"/>
      <c r="J7" s="30"/>
      <c r="K7" s="30"/>
      <c r="L7" s="30"/>
    </row>
    <row r="8" spans="1:12" ht="44.1" customHeight="1">
      <c r="A8" s="25" t="s">
        <v>337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</row>
    <row r="9" spans="1:12" ht="26.1" customHeight="1">
      <c r="A9" s="29" t="str">
        <f>"Prepared by: "&amp;IF('00_Project'!$B$14="","",'00_Project'!$B$14)</f>
        <v xml:space="preserve">Prepared by: </v>
      </c>
      <c r="B9" s="29"/>
      <c r="C9" s="29"/>
      <c r="D9" s="29"/>
      <c r="E9" s="29"/>
      <c r="F9" s="29"/>
      <c r="G9" s="29" t="str">
        <f>"Reviewed by: "&amp;IF('00_Project'!$B$15="","",'00_Project'!$B$15)&amp;" / Approved by: "&amp;IF('00_Project'!$B$16="","",'00_Project'!$B$16)</f>
        <v xml:space="preserve">Reviewed by:  / Approved by: </v>
      </c>
      <c r="H9" s="29"/>
      <c r="I9" s="29"/>
      <c r="J9" s="29"/>
      <c r="K9" s="29"/>
      <c r="L9" s="29"/>
    </row>
    <row r="10" spans="1:12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9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42" customHeight="1">
      <c r="A12" s="14" t="s">
        <v>338</v>
      </c>
      <c r="B12" s="14" t="s">
        <v>105</v>
      </c>
      <c r="C12" s="14" t="s">
        <v>339</v>
      </c>
      <c r="D12" s="14" t="s">
        <v>340</v>
      </c>
      <c r="E12" s="14" t="s">
        <v>341</v>
      </c>
      <c r="F12" s="14" t="s">
        <v>342</v>
      </c>
      <c r="G12" s="14" t="s">
        <v>343</v>
      </c>
      <c r="H12" s="14" t="s">
        <v>344</v>
      </c>
      <c r="I12" s="14" t="s">
        <v>11</v>
      </c>
      <c r="J12" s="14" t="s">
        <v>345</v>
      </c>
      <c r="K12" s="14" t="s">
        <v>346</v>
      </c>
      <c r="L12" s="14" t="s">
        <v>347</v>
      </c>
    </row>
    <row r="13" spans="1:12" ht="39.950000000000003" customHeight="1">
      <c r="A13" s="13" t="s">
        <v>348</v>
      </c>
      <c r="B13" s="22" t="s">
        <v>349</v>
      </c>
      <c r="C13" s="22" t="s">
        <v>350</v>
      </c>
      <c r="D13" s="22" t="s">
        <v>350</v>
      </c>
      <c r="E13" s="22" t="s">
        <v>351</v>
      </c>
      <c r="F13" s="22" t="s">
        <v>350</v>
      </c>
      <c r="G13" s="22" t="s">
        <v>352</v>
      </c>
      <c r="H13" s="22" t="s">
        <v>350</v>
      </c>
      <c r="I13" s="22" t="s">
        <v>352</v>
      </c>
      <c r="J13" s="15">
        <f t="shared" ref="J13:J22" si="0">COUNTIFS(B13:I13,"A")+COUNTIFS(B13:I13,"A/R")</f>
        <v>1</v>
      </c>
      <c r="K13" s="15">
        <f t="shared" ref="K13:K22" si="1">COUNTIFS(B13:I13,"R")+COUNTIFS(B13:I13,"A/R")</f>
        <v>1</v>
      </c>
      <c r="L13" s="15" t="str">
        <f t="shared" ref="L13:L22" si="2">IF(J13&lt;&gt;1,"Assign exactly one A",IF(K13&lt;1,"Assign at least one R","Assignments consistent"))</f>
        <v>Assignments consistent</v>
      </c>
    </row>
    <row r="14" spans="1:12" ht="39.950000000000003" customHeight="1">
      <c r="A14" s="13" t="s">
        <v>353</v>
      </c>
      <c r="B14" s="22" t="s">
        <v>349</v>
      </c>
      <c r="C14" s="22" t="s">
        <v>351</v>
      </c>
      <c r="D14" s="22" t="s">
        <v>351</v>
      </c>
      <c r="E14" s="22" t="s">
        <v>350</v>
      </c>
      <c r="F14" s="22" t="s">
        <v>350</v>
      </c>
      <c r="G14" s="22" t="s">
        <v>352</v>
      </c>
      <c r="H14" s="22" t="s">
        <v>350</v>
      </c>
      <c r="I14" s="22" t="s">
        <v>352</v>
      </c>
      <c r="J14" s="15">
        <f t="shared" si="0"/>
        <v>1</v>
      </c>
      <c r="K14" s="15">
        <f t="shared" si="1"/>
        <v>2</v>
      </c>
      <c r="L14" s="15" t="str">
        <f t="shared" si="2"/>
        <v>Assignments consistent</v>
      </c>
    </row>
    <row r="15" spans="1:12" ht="39.950000000000003" customHeight="1">
      <c r="A15" s="13" t="s">
        <v>354</v>
      </c>
      <c r="B15" s="22" t="s">
        <v>349</v>
      </c>
      <c r="C15" s="22" t="s">
        <v>352</v>
      </c>
      <c r="D15" s="22" t="s">
        <v>350</v>
      </c>
      <c r="E15" s="22" t="s">
        <v>351</v>
      </c>
      <c r="F15" s="22" t="s">
        <v>352</v>
      </c>
      <c r="G15" s="22" t="s">
        <v>352</v>
      </c>
      <c r="H15" s="22" t="s">
        <v>352</v>
      </c>
      <c r="I15" s="22" t="s">
        <v>352</v>
      </c>
      <c r="J15" s="15">
        <f t="shared" si="0"/>
        <v>1</v>
      </c>
      <c r="K15" s="15">
        <f t="shared" si="1"/>
        <v>1</v>
      </c>
      <c r="L15" s="15" t="str">
        <f t="shared" si="2"/>
        <v>Assignments consistent</v>
      </c>
    </row>
    <row r="16" spans="1:12" ht="39.950000000000003" customHeight="1">
      <c r="A16" s="13" t="s">
        <v>355</v>
      </c>
      <c r="B16" s="22" t="s">
        <v>349</v>
      </c>
      <c r="C16" s="22" t="s">
        <v>352</v>
      </c>
      <c r="D16" s="22" t="s">
        <v>350</v>
      </c>
      <c r="E16" s="22" t="s">
        <v>350</v>
      </c>
      <c r="F16" s="22" t="s">
        <v>351</v>
      </c>
      <c r="G16" s="22" t="s">
        <v>352</v>
      </c>
      <c r="H16" s="22" t="s">
        <v>352</v>
      </c>
      <c r="I16" s="22" t="s">
        <v>352</v>
      </c>
      <c r="J16" s="15">
        <f t="shared" si="0"/>
        <v>1</v>
      </c>
      <c r="K16" s="15">
        <f t="shared" si="1"/>
        <v>1</v>
      </c>
      <c r="L16" s="15" t="str">
        <f t="shared" si="2"/>
        <v>Assignments consistent</v>
      </c>
    </row>
    <row r="17" spans="1:12" ht="39.950000000000003" customHeight="1">
      <c r="A17" s="13" t="s">
        <v>356</v>
      </c>
      <c r="B17" s="22" t="s">
        <v>350</v>
      </c>
      <c r="C17" s="22" t="s">
        <v>350</v>
      </c>
      <c r="D17" s="22" t="s">
        <v>357</v>
      </c>
      <c r="E17" s="22" t="s">
        <v>350</v>
      </c>
      <c r="F17" s="22" t="s">
        <v>350</v>
      </c>
      <c r="G17" s="22" t="s">
        <v>352</v>
      </c>
      <c r="H17" s="22" t="s">
        <v>352</v>
      </c>
      <c r="I17" s="22" t="s">
        <v>352</v>
      </c>
      <c r="J17" s="15">
        <f t="shared" si="0"/>
        <v>1</v>
      </c>
      <c r="K17" s="15">
        <f t="shared" si="1"/>
        <v>1</v>
      </c>
      <c r="L17" s="15" t="str">
        <f t="shared" si="2"/>
        <v>Assignments consistent</v>
      </c>
    </row>
    <row r="18" spans="1:12" ht="39.950000000000003" customHeight="1">
      <c r="A18" s="13" t="s">
        <v>358</v>
      </c>
      <c r="B18" s="22" t="s">
        <v>349</v>
      </c>
      <c r="C18" s="22" t="s">
        <v>351</v>
      </c>
      <c r="D18" s="22" t="s">
        <v>350</v>
      </c>
      <c r="E18" s="22" t="s">
        <v>352</v>
      </c>
      <c r="F18" s="22" t="s">
        <v>352</v>
      </c>
      <c r="G18" s="22" t="s">
        <v>350</v>
      </c>
      <c r="H18" s="22" t="s">
        <v>352</v>
      </c>
      <c r="I18" s="22" t="s">
        <v>352</v>
      </c>
      <c r="J18" s="15">
        <f t="shared" si="0"/>
        <v>1</v>
      </c>
      <c r="K18" s="15">
        <f t="shared" si="1"/>
        <v>1</v>
      </c>
      <c r="L18" s="15" t="str">
        <f t="shared" si="2"/>
        <v>Assignments consistent</v>
      </c>
    </row>
    <row r="19" spans="1:12" ht="39.950000000000003" customHeight="1">
      <c r="A19" s="13" t="s">
        <v>359</v>
      </c>
      <c r="B19" s="22" t="s">
        <v>349</v>
      </c>
      <c r="C19" s="22" t="s">
        <v>351</v>
      </c>
      <c r="D19" s="22" t="s">
        <v>351</v>
      </c>
      <c r="E19" s="22" t="s">
        <v>350</v>
      </c>
      <c r="F19" s="22" t="s">
        <v>350</v>
      </c>
      <c r="G19" s="22" t="s">
        <v>350</v>
      </c>
      <c r="H19" s="22" t="s">
        <v>352</v>
      </c>
      <c r="I19" s="22" t="s">
        <v>352</v>
      </c>
      <c r="J19" s="15">
        <f t="shared" si="0"/>
        <v>1</v>
      </c>
      <c r="K19" s="15">
        <f t="shared" si="1"/>
        <v>2</v>
      </c>
      <c r="L19" s="15" t="str">
        <f t="shared" si="2"/>
        <v>Assignments consistent</v>
      </c>
    </row>
    <row r="20" spans="1:12" ht="39.950000000000003" customHeight="1">
      <c r="A20" s="13" t="s">
        <v>360</v>
      </c>
      <c r="B20" s="22" t="s">
        <v>349</v>
      </c>
      <c r="C20" s="22" t="s">
        <v>351</v>
      </c>
      <c r="D20" s="22" t="s">
        <v>350</v>
      </c>
      <c r="E20" s="22" t="s">
        <v>352</v>
      </c>
      <c r="F20" s="22" t="s">
        <v>352</v>
      </c>
      <c r="G20" s="22" t="s">
        <v>351</v>
      </c>
      <c r="H20" s="22" t="s">
        <v>352</v>
      </c>
      <c r="I20" s="22" t="s">
        <v>352</v>
      </c>
      <c r="J20" s="15">
        <f t="shared" si="0"/>
        <v>1</v>
      </c>
      <c r="K20" s="15">
        <f t="shared" si="1"/>
        <v>2</v>
      </c>
      <c r="L20" s="15" t="str">
        <f t="shared" si="2"/>
        <v>Assignments consistent</v>
      </c>
    </row>
    <row r="21" spans="1:12" ht="39.950000000000003" customHeight="1">
      <c r="A21" s="13" t="s">
        <v>361</v>
      </c>
      <c r="B21" s="22" t="s">
        <v>349</v>
      </c>
      <c r="C21" s="22" t="s">
        <v>351</v>
      </c>
      <c r="D21" s="22" t="s">
        <v>351</v>
      </c>
      <c r="E21" s="22" t="s">
        <v>351</v>
      </c>
      <c r="F21" s="22" t="s">
        <v>351</v>
      </c>
      <c r="G21" s="22" t="s">
        <v>350</v>
      </c>
      <c r="H21" s="22" t="s">
        <v>350</v>
      </c>
      <c r="I21" s="22" t="s">
        <v>350</v>
      </c>
      <c r="J21" s="15">
        <f t="shared" si="0"/>
        <v>1</v>
      </c>
      <c r="K21" s="15">
        <f t="shared" si="1"/>
        <v>4</v>
      </c>
      <c r="L21" s="15" t="str">
        <f t="shared" si="2"/>
        <v>Assignments consistent</v>
      </c>
    </row>
    <row r="22" spans="1:12" ht="39.950000000000003" customHeight="1">
      <c r="A22" s="13" t="s">
        <v>362</v>
      </c>
      <c r="B22" s="22" t="s">
        <v>352</v>
      </c>
      <c r="C22" s="22" t="s">
        <v>352</v>
      </c>
      <c r="D22" s="22" t="s">
        <v>350</v>
      </c>
      <c r="E22" s="22" t="s">
        <v>352</v>
      </c>
      <c r="F22" s="22" t="s">
        <v>352</v>
      </c>
      <c r="G22" s="22" t="s">
        <v>350</v>
      </c>
      <c r="H22" s="22" t="s">
        <v>350</v>
      </c>
      <c r="I22" s="22" t="s">
        <v>357</v>
      </c>
      <c r="J22" s="15">
        <f t="shared" si="0"/>
        <v>1</v>
      </c>
      <c r="K22" s="15">
        <f t="shared" si="1"/>
        <v>1</v>
      </c>
      <c r="L22" s="15" t="str">
        <f t="shared" si="2"/>
        <v>Assignments consistent</v>
      </c>
    </row>
    <row r="23" spans="1:12" ht="24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24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24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24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24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24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24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24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24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24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24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24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</sheetData>
  <mergeCells count="13">
    <mergeCell ref="A9:F9"/>
    <mergeCell ref="G9:L9"/>
    <mergeCell ref="A6:F6"/>
    <mergeCell ref="G6:L6"/>
    <mergeCell ref="A7:F7"/>
    <mergeCell ref="G7:L7"/>
    <mergeCell ref="A8:L8"/>
    <mergeCell ref="A2:L2"/>
    <mergeCell ref="A3:L3"/>
    <mergeCell ref="A4:F4"/>
    <mergeCell ref="G4:L4"/>
    <mergeCell ref="A5:F5"/>
    <mergeCell ref="G5:L5"/>
  </mergeCells>
  <conditionalFormatting sqref="L13:L22">
    <cfRule type="expression" dxfId="0" priority="1">
      <formula>L13&lt;&gt;"Assignments consistent"</formula>
    </cfRule>
  </conditionalFormatting>
  <dataValidations count="1">
    <dataValidation type="list" allowBlank="1" showErrorMessage="1" errorTitle="Select a listed value" error="Use the dropdown. Project lists can be adapted in Lists or H_Status_Codes." sqref="B13:I22" ns2:uid="{00000000-0002-0000-0C00-000000000000}">
      <formula1>RACICodes</formula1>
    </dataValidation>
  </dataValidation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  <tableParts count="1">
    <tablePart r:id="rId1"/>
  </tableParts>
</worksheet>
</file>

<file path=xl/worksheets/sheet1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00000000-0001-0000-0D00-000000000000}">
  <sheetPr>
    <tabColor rgb="FFA6A6A6"/>
    <pageSetUpPr fitToPage="1"/>
  </sheetPr>
  <dimension ref="A1:K52"/>
  <sheetViews>
    <sheetView showGridLines="0" workbookViewId="0">
      <pane ySplit="12" topLeftCell="A13" activePane="bottomLeft" state="frozen"/>
      <selection pane="bottomLeft"/>
    </sheetView>
  </sheetViews>
  <sheetFormatPr defaultRowHeight="14.25"/>
  <cols>
    <col min="1" max="11" width="25" customWidth="1"/>
  </cols>
  <sheetData>
    <row r="1" spans="1:11" ht="9.9499999999999993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7.95" customHeight="1">
      <c r="A2" s="27" t="s">
        <v>363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0.100000000000001" customHeight="1">
      <c r="A3" s="28" t="s">
        <v>66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1" ht="26.1" customHeight="1">
      <c r="A4" s="29" t="str">
        <f>"Project: "&amp;IF('00_Project'!$B$6="","",'00_Project'!$B$6)&amp;IF('00_Project'!$B$10="",""," / Site: "&amp;'00_Project'!$B$10)</f>
        <v xml:space="preserve">Project: </v>
      </c>
      <c r="B4" s="29"/>
      <c r="C4" s="29"/>
      <c r="D4" s="29"/>
      <c r="E4" s="29"/>
      <c r="F4" s="29" t="str">
        <f>"Project ID: "&amp;IF('00_Project'!$B$7="","",'00_Project'!$B$7)</f>
        <v xml:space="preserve">Project ID: </v>
      </c>
      <c r="G4" s="29"/>
      <c r="H4" s="29"/>
      <c r="I4" s="29"/>
      <c r="J4" s="29"/>
      <c r="K4" s="29"/>
    </row>
    <row r="5" spans="1:11" ht="26.1" customHeight="1">
      <c r="A5" s="29" t="str">
        <f>"Client / Owner: "&amp;IF('00_Project'!$B$8="","",'00_Project'!$B$8)</f>
        <v xml:space="preserve">Client / Owner: </v>
      </c>
      <c r="B5" s="29"/>
      <c r="C5" s="29"/>
      <c r="D5" s="29"/>
      <c r="E5" s="29"/>
      <c r="F5" s="29" t="str">
        <f>"Contractor: "&amp;IF('00_Project'!$B$9="","",'00_Project'!$B$9)</f>
        <v xml:space="preserve">Contractor: </v>
      </c>
      <c r="G5" s="29"/>
      <c r="H5" s="29"/>
      <c r="I5" s="29"/>
      <c r="J5" s="29"/>
      <c r="K5" s="29"/>
    </row>
    <row r="6" spans="1:11" ht="26.1" customHeight="1">
      <c r="A6" s="29" t="str">
        <f>"Project document ID: "&amp;IF('00_Project'!$B$11="","",'00_Project'!$B$11)</f>
        <v xml:space="preserve">Project document ID: </v>
      </c>
      <c r="B6" s="29"/>
      <c r="C6" s="29"/>
      <c r="D6" s="29"/>
      <c r="E6" s="29"/>
      <c r="F6" s="29" t="str">
        <f>"Project revision: "&amp;IF('00_Project'!$B$12="","",'00_Project'!$B$12)</f>
        <v xml:space="preserve">Project revision: </v>
      </c>
      <c r="G6" s="29"/>
      <c r="H6" s="29"/>
      <c r="I6" s="29"/>
      <c r="J6" s="29"/>
      <c r="K6" s="29"/>
    </row>
    <row r="7" spans="1:11" ht="24" customHeight="1">
      <c r="A7" s="30" t="str">
        <f>"Document status: "&amp;IF('00_Project'!$B$13="","",'00_Project'!$B$13)</f>
        <v>Document status: Draft</v>
      </c>
      <c r="B7" s="30"/>
      <c r="C7" s="30"/>
      <c r="D7" s="30"/>
      <c r="E7" s="30"/>
      <c r="F7" s="30" t="str">
        <f>"Issue date: "&amp;IF('00_Project'!$B$17="","",TEXT('00_Project'!$B$17,"dd-mmm-yyyy"))</f>
        <v xml:space="preserve">Issue date: </v>
      </c>
      <c r="G7" s="30"/>
      <c r="H7" s="30"/>
      <c r="I7" s="30"/>
      <c r="J7" s="30"/>
      <c r="K7" s="30"/>
    </row>
    <row r="8" spans="1:11" ht="44.1" customHeight="1">
      <c r="A8" s="25" t="s">
        <v>364</v>
      </c>
      <c r="B8" s="25"/>
      <c r="C8" s="25"/>
      <c r="D8" s="25"/>
      <c r="E8" s="25"/>
      <c r="F8" s="25"/>
      <c r="G8" s="25"/>
      <c r="H8" s="25"/>
      <c r="I8" s="25"/>
      <c r="J8" s="25"/>
      <c r="K8" s="25"/>
    </row>
    <row r="9" spans="1:11" ht="26.1" customHeight="1">
      <c r="A9" s="29" t="str">
        <f>"Prepared by: "&amp;IF('00_Project'!$B$14="","",'00_Project'!$B$14)</f>
        <v xml:space="preserve">Prepared by: </v>
      </c>
      <c r="B9" s="29"/>
      <c r="C9" s="29"/>
      <c r="D9" s="29"/>
      <c r="E9" s="29"/>
      <c r="F9" s="29" t="str">
        <f>"Reviewed by: "&amp;IF('00_Project'!$B$15="","",'00_Project'!$B$15)&amp;" / Approved by: "&amp;IF('00_Project'!$B$16="","",'00_Project'!$B$16)</f>
        <v xml:space="preserve">Reviewed by:  / Approved by: </v>
      </c>
      <c r="G9" s="29"/>
      <c r="H9" s="29"/>
      <c r="I9" s="29"/>
      <c r="J9" s="29"/>
      <c r="K9" s="29"/>
    </row>
    <row r="10" spans="1:11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9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36" customHeight="1">
      <c r="A12" s="2" t="s">
        <v>365</v>
      </c>
      <c r="B12" s="2" t="s">
        <v>366</v>
      </c>
      <c r="C12" s="2" t="s">
        <v>367</v>
      </c>
      <c r="D12" s="2" t="s">
        <v>368</v>
      </c>
      <c r="E12" s="2" t="s">
        <v>369</v>
      </c>
      <c r="F12" s="2" t="s">
        <v>370</v>
      </c>
      <c r="G12" s="2" t="s">
        <v>371</v>
      </c>
      <c r="H12" s="2" t="s">
        <v>372</v>
      </c>
      <c r="I12" s="2" t="s">
        <v>373</v>
      </c>
      <c r="J12" s="2" t="s">
        <v>374</v>
      </c>
      <c r="K12" s="2" t="s">
        <v>375</v>
      </c>
    </row>
    <row r="13" spans="1:11" ht="32.1" customHeight="1">
      <c r="A13" s="13" t="s">
        <v>376</v>
      </c>
      <c r="B13" s="13" t="s">
        <v>296</v>
      </c>
      <c r="C13" s="13" t="s">
        <v>377</v>
      </c>
      <c r="D13" s="13" t="s">
        <v>378</v>
      </c>
      <c r="E13" s="13" t="s">
        <v>379</v>
      </c>
      <c r="F13" s="13" t="s">
        <v>131</v>
      </c>
      <c r="G13" s="13" t="s">
        <v>380</v>
      </c>
      <c r="H13" s="13" t="s">
        <v>381</v>
      </c>
      <c r="I13" s="13" t="s">
        <v>351</v>
      </c>
      <c r="J13" s="13" t="s">
        <v>23</v>
      </c>
      <c r="K13" s="13" t="s">
        <v>285</v>
      </c>
    </row>
    <row r="14" spans="1:11" ht="32.1" customHeight="1">
      <c r="A14" s="13" t="s">
        <v>382</v>
      </c>
      <c r="B14" s="13" t="s">
        <v>383</v>
      </c>
      <c r="C14" s="13" t="s">
        <v>384</v>
      </c>
      <c r="D14" s="13" t="s">
        <v>311</v>
      </c>
      <c r="E14" s="13" t="s">
        <v>385</v>
      </c>
      <c r="F14" s="13" t="s">
        <v>142</v>
      </c>
      <c r="G14" s="13" t="s">
        <v>386</v>
      </c>
      <c r="H14" s="13" t="s">
        <v>387</v>
      </c>
      <c r="I14" s="13" t="s">
        <v>349</v>
      </c>
      <c r="J14" s="13" t="s">
        <v>302</v>
      </c>
      <c r="K14" s="13" t="s">
        <v>388</v>
      </c>
    </row>
    <row r="15" spans="1:11" ht="32.1" customHeight="1">
      <c r="A15" s="13" t="s">
        <v>389</v>
      </c>
      <c r="B15" s="13" t="s">
        <v>302</v>
      </c>
      <c r="C15" s="13" t="s">
        <v>390</v>
      </c>
      <c r="D15" s="13" t="s">
        <v>391</v>
      </c>
      <c r="E15" s="13"/>
      <c r="F15" s="13" t="s">
        <v>392</v>
      </c>
      <c r="G15" s="13"/>
      <c r="H15" s="13" t="s">
        <v>392</v>
      </c>
      <c r="I15" s="13" t="s">
        <v>350</v>
      </c>
      <c r="J15" s="13" t="s">
        <v>393</v>
      </c>
      <c r="K15" s="13" t="s">
        <v>305</v>
      </c>
    </row>
    <row r="16" spans="1:11" ht="32.1" customHeight="1">
      <c r="A16" s="13" t="s">
        <v>394</v>
      </c>
      <c r="B16" s="13" t="s">
        <v>305</v>
      </c>
      <c r="C16" s="13" t="s">
        <v>395</v>
      </c>
      <c r="D16" s="13" t="s">
        <v>245</v>
      </c>
      <c r="E16" s="13"/>
      <c r="F16" s="13"/>
      <c r="G16" s="13"/>
      <c r="H16" s="13"/>
      <c r="I16" s="13" t="s">
        <v>352</v>
      </c>
      <c r="J16" s="13" t="s">
        <v>396</v>
      </c>
      <c r="K16" s="13" t="s">
        <v>328</v>
      </c>
    </row>
    <row r="17" spans="1:11" ht="32.1" customHeight="1">
      <c r="A17" s="13" t="s">
        <v>397</v>
      </c>
      <c r="B17" s="13" t="s">
        <v>308</v>
      </c>
      <c r="C17" s="13" t="s">
        <v>398</v>
      </c>
      <c r="D17" s="13" t="s">
        <v>331</v>
      </c>
      <c r="E17" s="13"/>
      <c r="F17" s="13"/>
      <c r="G17" s="13"/>
      <c r="H17" s="13"/>
      <c r="I17" s="13" t="s">
        <v>357</v>
      </c>
      <c r="J17" s="13" t="s">
        <v>399</v>
      </c>
      <c r="K17" s="13"/>
    </row>
    <row r="18" spans="1:11" ht="32.1" customHeight="1">
      <c r="A18" s="13" t="s">
        <v>400</v>
      </c>
      <c r="B18" s="13" t="s">
        <v>311</v>
      </c>
      <c r="C18" s="13" t="s">
        <v>342</v>
      </c>
      <c r="D18" s="13" t="s">
        <v>401</v>
      </c>
      <c r="E18" s="13"/>
      <c r="F18" s="13"/>
      <c r="G18" s="13"/>
      <c r="H18" s="13"/>
      <c r="I18" s="13"/>
      <c r="J18" s="13" t="s">
        <v>402</v>
      </c>
      <c r="K18" s="13"/>
    </row>
    <row r="19" spans="1:11" ht="32.1" customHeight="1">
      <c r="A19" s="13" t="s">
        <v>403</v>
      </c>
      <c r="B19" s="13" t="s">
        <v>314</v>
      </c>
      <c r="C19" s="13" t="s">
        <v>404</v>
      </c>
      <c r="D19" s="13" t="s">
        <v>325</v>
      </c>
      <c r="E19" s="13"/>
      <c r="F19" s="13"/>
      <c r="G19" s="13"/>
      <c r="H19" s="13"/>
      <c r="I19" s="13"/>
      <c r="J19" s="13" t="s">
        <v>405</v>
      </c>
      <c r="K19" s="13"/>
    </row>
    <row r="20" spans="1:11" ht="32.1" customHeight="1">
      <c r="A20" s="13" t="s">
        <v>406</v>
      </c>
      <c r="B20" s="13" t="s">
        <v>317</v>
      </c>
      <c r="C20" s="13" t="s">
        <v>407</v>
      </c>
      <c r="D20" s="13" t="s">
        <v>392</v>
      </c>
      <c r="E20" s="13"/>
      <c r="F20" s="13"/>
      <c r="G20" s="13"/>
      <c r="H20" s="13"/>
      <c r="I20" s="13"/>
      <c r="J20" s="13"/>
      <c r="K20" s="13"/>
    </row>
    <row r="21" spans="1:11" ht="32.1" customHeight="1">
      <c r="A21" s="13" t="s">
        <v>408</v>
      </c>
      <c r="B21" s="13" t="s">
        <v>245</v>
      </c>
      <c r="C21" s="13"/>
      <c r="D21" s="13"/>
      <c r="E21" s="13"/>
      <c r="F21" s="13"/>
      <c r="G21" s="13"/>
      <c r="H21" s="13"/>
      <c r="I21" s="13"/>
      <c r="J21" s="13"/>
      <c r="K21" s="13"/>
    </row>
    <row r="22" spans="1:11" ht="32.1" customHeight="1">
      <c r="A22" s="13"/>
      <c r="B22" s="13" t="s">
        <v>322</v>
      </c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32.1" customHeight="1">
      <c r="A23" s="13"/>
      <c r="B23" s="13" t="s">
        <v>331</v>
      </c>
      <c r="C23" s="13"/>
      <c r="D23" s="13"/>
      <c r="E23" s="13"/>
      <c r="F23" s="13"/>
      <c r="G23" s="13"/>
      <c r="H23" s="13"/>
      <c r="I23" s="13"/>
      <c r="J23" s="13"/>
      <c r="K23" s="13"/>
    </row>
    <row r="24" spans="1:11" ht="32.1" customHeight="1">
      <c r="A24" s="13"/>
      <c r="B24" s="13" t="s">
        <v>325</v>
      </c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32.1" customHeight="1">
      <c r="A25" s="13"/>
      <c r="B25" s="13" t="s">
        <v>334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32.1" customHeight="1">
      <c r="A26" s="13"/>
      <c r="B26" s="13" t="s">
        <v>405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32.1" customHeight="1">
      <c r="A27" s="13"/>
      <c r="B27" s="13" t="s">
        <v>392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32.1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32.1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32.1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32.1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32.1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ht="32.1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</row>
    <row r="34" spans="1:11" ht="32.1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</row>
    <row r="35" spans="1:11" ht="32.1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</row>
    <row r="36" spans="1:11" ht="32.1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32.1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</row>
    <row r="38" spans="1:11" ht="32.1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 ht="32.1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</row>
    <row r="40" spans="1:11" ht="32.1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</row>
    <row r="41" spans="1:11" ht="32.1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</row>
    <row r="42" spans="1:11" ht="32.1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</row>
    <row r="43" spans="1:11" ht="32.1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ht="32.1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</row>
    <row r="45" spans="1:11" ht="32.1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</row>
    <row r="46" spans="1:11" ht="32.1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</row>
    <row r="47" spans="1:11" ht="32.1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</row>
    <row r="48" spans="1:11" ht="32.1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</row>
    <row r="49" spans="1:11" ht="32.1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</row>
    <row r="50" spans="1:11" ht="32.1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11" ht="32.1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ht="32.1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</row>
  </sheetData>
  <mergeCells count="13">
    <mergeCell ref="A9:E9"/>
    <mergeCell ref="F9:K9"/>
    <mergeCell ref="A6:E6"/>
    <mergeCell ref="F6:K6"/>
    <mergeCell ref="A7:E7"/>
    <mergeCell ref="F7:K7"/>
    <mergeCell ref="A8:K8"/>
    <mergeCell ref="A2:K2"/>
    <mergeCell ref="A3:K3"/>
    <mergeCell ref="A4:E4"/>
    <mergeCell ref="F4:K4"/>
    <mergeCell ref="A5:E5"/>
    <mergeCell ref="F5:K5"/>
  </mergeCells>
  <printOptions horizontalCentered="1"/>
  <pageMargins left="0.25" right="0.25" top="0.4" bottom="0.4" header="0.2" footer="0.2"/>
  <pageSetup paperSize="9" orientation="landscape" fitToWidth="1" fitToHeight="0"/>
  <headerFooter>
    <oddFooter>&amp;LPQD-FH 01 | Templates Rev. 1.00&amp;C&amp;AP&amp;RPage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14</vt:i4>
      </vt:variant>
      <vt:variant>
        <vt:lpstr>Nazwane zakresy</vt:lpstr>
      </vt:variant>
      <vt:variant>
        <vt:i4>15</vt:i4>
      </vt:variant>
    </vt:vector>
  </HeadingPairs>
  <TitlesOfParts>
    <vt:vector size="29" baseType="lpstr">
      <vt:lpstr>00_Project</vt:lpstr>
      <vt:lpstr>A_Requirements</vt:lpstr>
      <vt:lpstr>B_Packages</vt:lpstr>
      <vt:lpstr>C_Deliverables</vt:lpstr>
      <vt:lpstr>D1_Package_Index</vt:lpstr>
      <vt:lpstr>D2_Documents</vt:lpstr>
      <vt:lpstr>D3_Metadata</vt:lpstr>
      <vt:lpstr>D4_Classification</vt:lpstr>
      <vt:lpstr>E_Traceability</vt:lpstr>
      <vt:lpstr>F_Completion</vt:lpstr>
      <vt:lpstr>G_Readiness</vt:lpstr>
      <vt:lpstr>H_Status_Codes</vt:lpstr>
      <vt:lpstr>I_Responsibilities</vt:lpstr>
      <vt:lpstr>Lists</vt:lpstr>
      <vt:lpstr>ApplicabilityChoices</vt:lpstr>
      <vt:lpstr>Disciplines</vt:lpstr>
      <vt:lpstr>DocumentIDs</vt:lpstr>
      <vt:lpstr>DocumentStatuses</vt:lpstr>
      <vt:lpstr>FQDSections</vt:lpstr>
      <vt:lpstr>InclusionTypes</vt:lpstr>
      <vt:lpstr>LifecycleStages</vt:lpstr>
      <vt:lpstr>PackageIDs</vt:lpstr>
      <vt:lpstr>PackageStatuses</vt:lpstr>
      <vt:lpstr>RACICodes</vt:lpstr>
      <vt:lpstr>ReadinessDecisions</vt:lpstr>
      <vt:lpstr>ReadinessResponses</vt:lpstr>
      <vt:lpstr>RecordStatuses</vt:lpstr>
      <vt:lpstr>RequiredChoices</vt:lpstr>
      <vt:lpstr>TraceabilityStatuses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PQD-FH 01 — Universal FQD Editable Templates</dc:title>
  <dc:creator>Arkadiusz Wójcik</dc:creator>
  <cp:keywords>PQD-FH; FQD; QA/QC; Quality Documentation; Traceability; Final Handover</cp:keywords>
  <cp:lastModifiedBy>Arkadiusz Wójcik</cp:lastModifiedBy>
  <dcterms:modified xsi:type="dcterms:W3CDTF">2026-10-05T06:33:27Z</dcterms:modified>
  <cp:category>Engineering Quality; Editable Templates; Quality Documentation</cp:category>
  <dc:language>en</dc:language>
  <dc:description>Universal editable companion templates for PQD-FH 01, Procedure Rev. 1.00. Appendices A–I.</dc:description>
</cp:coreProperties>
</file>